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/Users/cate/Desktop/"/>
    </mc:Choice>
  </mc:AlternateContent>
  <xr:revisionPtr revIDLastSave="0" documentId="13_ncr:1000001_{3E468D63-833E-AB47-ACF7-689175E732F1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Foglio1" sheetId="1" r:id="rId1"/>
    <sheet name="Foglio3" sheetId="3" r:id="rId2"/>
  </sheets>
  <definedNames>
    <definedName name="soglia_EXS30">Foglio3!$C$2:$C$123</definedName>
    <definedName name="soglia_EXS32">Foglio3!$G$2:$G$123</definedName>
    <definedName name="soglia_EXS35">Foglio3!$K$2:$K$123</definedName>
    <definedName name="soglia_EXS38">Foglio3!$O$2:$O$123</definedName>
    <definedName name="soglia_EXSmax">Foglio3!$S$2:$S$123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B7" i="1"/>
  <c r="A18" i="1"/>
  <c r="A14" i="1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151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E5" i="3"/>
  <c r="I5" i="3"/>
  <c r="M5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C2" i="1"/>
  <c r="C3" i="1"/>
  <c r="G6" i="1"/>
  <c r="D6" i="1"/>
  <c r="I14" i="1"/>
  <c r="D14" i="1"/>
  <c r="I18" i="1"/>
  <c r="G10" i="1"/>
  <c r="E6" i="1"/>
  <c r="B6" i="1"/>
  <c r="F6" i="1"/>
  <c r="H18" i="1"/>
  <c r="G18" i="1"/>
  <c r="F18" i="1"/>
  <c r="D18" i="1"/>
  <c r="E18" i="1"/>
  <c r="D10" i="1"/>
  <c r="E10" i="1"/>
  <c r="F14" i="1"/>
  <c r="E14" i="1"/>
  <c r="G14" i="1"/>
  <c r="H14" i="1"/>
  <c r="B18" i="1"/>
  <c r="B14" i="1"/>
  <c r="B10" i="1"/>
</calcChain>
</file>

<file path=xl/sharedStrings.xml><?xml version="1.0" encoding="utf-8"?>
<sst xmlns="http://schemas.openxmlformats.org/spreadsheetml/2006/main" count="75" uniqueCount="42">
  <si>
    <t>EG</t>
  </si>
  <si>
    <t>Ore di vita</t>
  </si>
  <si>
    <t>BTS</t>
  </si>
  <si>
    <t>Ora</t>
  </si>
  <si>
    <t>Data e ora di nascita</t>
  </si>
  <si>
    <t>Data e ora del prelievo</t>
  </si>
  <si>
    <t>Bilirubinemia totale sierica</t>
  </si>
  <si>
    <t>Riga tabella</t>
  </si>
  <si>
    <t>EG &lt;30</t>
  </si>
  <si>
    <t>ORE int</t>
  </si>
  <si>
    <t>ore di vita</t>
  </si>
  <si>
    <t>EG 30-31,6</t>
  </si>
  <si>
    <t>EG 32-34,6</t>
  </si>
  <si>
    <t>EG 35-37,6</t>
  </si>
  <si>
    <t>EG &gt;=38</t>
  </si>
  <si>
    <t>Soglia per inizio FT</t>
  </si>
  <si>
    <t>Tabella inizio fototerapia</t>
  </si>
  <si>
    <t>EG&lt;30</t>
  </si>
  <si>
    <t>EG 30-31.6</t>
  </si>
  <si>
    <t>EG 32-34.6</t>
  </si>
  <si>
    <t>EG 35-37.6</t>
  </si>
  <si>
    <t>75° percentile</t>
  </si>
  <si>
    <t>90° percentile</t>
  </si>
  <si>
    <t>50° percentile</t>
  </si>
  <si>
    <t>Valore 50°</t>
  </si>
  <si>
    <t>Valore 75°</t>
  </si>
  <si>
    <t>Valore 90°</t>
  </si>
  <si>
    <t>Bilirubinemia transcutanea</t>
  </si>
  <si>
    <t>BTC</t>
  </si>
  <si>
    <t>Percentile BTC</t>
  </si>
  <si>
    <t>Percentile BTS</t>
  </si>
  <si>
    <t>Scala di classe?</t>
  </si>
  <si>
    <t>BTS soglia FT int</t>
  </si>
  <si>
    <t>BTS soglia EXS int</t>
  </si>
  <si>
    <t>Soglia per inizio EXT</t>
  </si>
  <si>
    <t>&lt;30</t>
  </si>
  <si>
    <t>&lt;32</t>
  </si>
  <si>
    <t>&lt;35</t>
  </si>
  <si>
    <t>&lt;38</t>
  </si>
  <si>
    <t>up38</t>
  </si>
  <si>
    <t>Tabella inizio EXT</t>
  </si>
  <si>
    <r>
      <t xml:space="preserve">EG </t>
    </r>
    <r>
      <rPr>
        <b/>
        <sz val="11"/>
        <color theme="1"/>
        <rFont val="Calibri"/>
        <family val="2"/>
      </rPr>
      <t>≥</t>
    </r>
    <r>
      <rPr>
        <b/>
        <sz val="11"/>
        <color theme="1"/>
        <rFont val="Calibri"/>
        <family val="2"/>
        <scheme val="minor"/>
      </rPr>
      <t>38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</si>
</sst>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h]:mm"/>
    <numFmt numFmtId="165" formatCode="0.0"/>
  </numFmts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"/>
      <color theme="1"/>
      <name val="Times New Roman"/>
      <family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231F2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231F2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B63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DEDFA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2" tint="-9.9978637043366805E-2"/>
      </right>
      <top style="medium">
        <color indexed="64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medium">
        <color indexed="64"/>
      </bottom>
      <diagonal/>
    </border>
    <border>
      <left/>
      <right style="thin">
        <color theme="2" tint="-9.9978637043366805E-2"/>
      </right>
      <top style="medium">
        <color indexed="64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 style="medium">
        <color indexed="64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theme="2" tint="-9.9978637043366805E-2"/>
      </bottom>
      <diagonal/>
    </border>
    <border>
      <left/>
      <right style="medium">
        <color theme="1"/>
      </right>
      <top style="thin">
        <color indexed="64"/>
      </top>
      <bottom style="thin">
        <color theme="2" tint="-9.9978637043366805E-2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1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 style="medium">
        <color indexed="64"/>
      </right>
      <top/>
      <bottom style="medium">
        <color theme="1"/>
      </bottom>
      <diagonal/>
    </border>
    <border>
      <left style="medium">
        <color theme="1"/>
      </left>
      <right style="medium">
        <color indexed="64"/>
      </right>
      <top style="medium">
        <color indexed="64"/>
      </top>
      <bottom style="medium">
        <color theme="1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165" fontId="0" fillId="0" borderId="0" xfId="0" applyNumberFormat="1"/>
    <xf numFmtId="0" fontId="0" fillId="0" borderId="0" xfId="0" applyAlignment="1">
      <alignment horizontal="left" vertical="center"/>
    </xf>
    <xf numFmtId="0" fontId="5" fillId="6" borderId="3" xfId="0" applyFont="1" applyFill="1" applyBorder="1" applyAlignment="1">
      <alignment horizontal="left"/>
    </xf>
    <xf numFmtId="0" fontId="5" fillId="6" borderId="11" xfId="0" applyFont="1" applyFill="1" applyBorder="1" applyAlignment="1">
      <alignment horizontal="left"/>
    </xf>
    <xf numFmtId="0" fontId="5" fillId="6" borderId="11" xfId="0" applyFont="1" applyFill="1" applyBorder="1"/>
    <xf numFmtId="0" fontId="5" fillId="6" borderId="4" xfId="0" applyFont="1" applyFill="1" applyBorder="1"/>
    <xf numFmtId="0" fontId="6" fillId="7" borderId="12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/>
    </xf>
    <xf numFmtId="0" fontId="5" fillId="10" borderId="7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left"/>
    </xf>
    <xf numFmtId="165" fontId="0" fillId="3" borderId="0" xfId="0" applyNumberFormat="1" applyFill="1"/>
    <xf numFmtId="0" fontId="0" fillId="0" borderId="0" xfId="0" applyFill="1" applyBorder="1" applyAlignment="1">
      <alignment horizontal="center" vertical="center"/>
    </xf>
    <xf numFmtId="0" fontId="0" fillId="3" borderId="1" xfId="0" applyFill="1" applyBorder="1" applyAlignment="1">
      <alignment horizontal="left"/>
    </xf>
    <xf numFmtId="165" fontId="0" fillId="3" borderId="1" xfId="0" applyNumberFormat="1" applyFill="1" applyBorder="1"/>
    <xf numFmtId="0" fontId="9" fillId="4" borderId="2" xfId="0" applyFont="1" applyFill="1" applyBorder="1" applyAlignment="1">
      <alignment horizontal="center" vertical="center" wrapText="1"/>
    </xf>
    <xf numFmtId="165" fontId="10" fillId="4" borderId="2" xfId="0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165" fontId="1" fillId="4" borderId="1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165" fontId="10" fillId="4" borderId="1" xfId="0" applyNumberFormat="1" applyFont="1" applyFill="1" applyBorder="1" applyAlignment="1">
      <alignment horizontal="center" vertical="center" wrapText="1"/>
    </xf>
    <xf numFmtId="165" fontId="11" fillId="4" borderId="1" xfId="0" applyNumberFormat="1" applyFont="1" applyFill="1" applyBorder="1" applyAlignment="1">
      <alignment horizontal="center" vertical="center" wrapText="1"/>
    </xf>
    <xf numFmtId="165" fontId="9" fillId="4" borderId="1" xfId="0" applyNumberFormat="1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165" fontId="9" fillId="4" borderId="8" xfId="0" applyNumberFormat="1" applyFont="1" applyFill="1" applyBorder="1" applyAlignment="1">
      <alignment horizontal="center" vertical="center" wrapText="1"/>
    </xf>
    <xf numFmtId="165" fontId="10" fillId="4" borderId="8" xfId="0" applyNumberFormat="1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9" fillId="11" borderId="8" xfId="0" applyFont="1" applyFill="1" applyBorder="1" applyAlignment="1">
      <alignment horizontal="center" vertical="center" wrapText="1"/>
    </xf>
    <xf numFmtId="0" fontId="11" fillId="11" borderId="8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1" borderId="8" xfId="0" applyFont="1" applyFill="1" applyBorder="1" applyAlignment="1">
      <alignment horizontal="center" vertical="center" wrapText="1"/>
    </xf>
    <xf numFmtId="0" fontId="10" fillId="11" borderId="8" xfId="0" applyFont="1" applyFill="1" applyBorder="1" applyAlignment="1">
      <alignment horizontal="center" vertical="center" wrapText="1"/>
    </xf>
    <xf numFmtId="22" fontId="0" fillId="0" borderId="14" xfId="0" applyNumberFormat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</xf>
    <xf numFmtId="0" fontId="1" fillId="0" borderId="0" xfId="0" applyFont="1" applyAlignment="1" applyProtection="1">
      <alignment horizontal="left" vertical="center"/>
    </xf>
    <xf numFmtId="0" fontId="1" fillId="0" borderId="0" xfId="0" applyFont="1" applyAlignment="1" applyProtection="1">
      <alignment horizontal="center" vertical="center"/>
    </xf>
    <xf numFmtId="0" fontId="6" fillId="10" borderId="12" xfId="0" applyFont="1" applyFill="1" applyBorder="1" applyAlignment="1" applyProtection="1">
      <alignment horizontal="center" vertical="center"/>
    </xf>
    <xf numFmtId="0" fontId="6" fillId="10" borderId="16" xfId="0" applyFont="1" applyFill="1" applyBorder="1" applyAlignment="1" applyProtection="1">
      <alignment horizontal="center" vertical="center"/>
    </xf>
    <xf numFmtId="0" fontId="3" fillId="0" borderId="0" xfId="0" applyFont="1" applyAlignment="1" applyProtection="1">
      <alignment horizontal="left" vertical="center"/>
    </xf>
    <xf numFmtId="0" fontId="0" fillId="0" borderId="17" xfId="0" applyBorder="1" applyAlignment="1" applyProtection="1">
      <alignment horizontal="center" vertical="center"/>
    </xf>
    <xf numFmtId="22" fontId="2" fillId="0" borderId="19" xfId="0" applyNumberFormat="1" applyFont="1" applyBorder="1" applyAlignment="1" applyProtection="1">
      <alignment horizontal="center" vertical="center"/>
    </xf>
    <xf numFmtId="0" fontId="0" fillId="4" borderId="1" xfId="0" applyFill="1" applyBorder="1" applyAlignment="1" applyProtection="1">
      <alignment horizontal="center" vertical="center"/>
    </xf>
    <xf numFmtId="0" fontId="3" fillId="0" borderId="0" xfId="0" applyFont="1" applyAlignment="1" applyProtection="1">
      <alignment horizontal="center" vertical="center"/>
    </xf>
    <xf numFmtId="0" fontId="2" fillId="8" borderId="12" xfId="0" applyFont="1" applyFill="1" applyBorder="1" applyAlignment="1" applyProtection="1">
      <alignment horizontal="center" vertical="center"/>
    </xf>
    <xf numFmtId="0" fontId="2" fillId="8" borderId="13" xfId="0" applyFont="1" applyFill="1" applyBorder="1" applyAlignment="1" applyProtection="1">
      <alignment horizontal="center" vertical="center"/>
    </xf>
    <xf numFmtId="0" fontId="2" fillId="8" borderId="1" xfId="0" applyFont="1" applyFill="1" applyBorder="1" applyAlignment="1" applyProtection="1">
      <alignment horizontal="center" vertical="center"/>
    </xf>
    <xf numFmtId="0" fontId="0" fillId="11" borderId="1" xfId="0" applyFill="1" applyBorder="1" applyAlignment="1" applyProtection="1">
      <alignment horizontal="center" vertical="center"/>
    </xf>
    <xf numFmtId="0" fontId="0" fillId="0" borderId="0" xfId="0" applyAlignment="1" applyProtection="1">
      <alignment horizontal="left" vertical="center"/>
    </xf>
    <xf numFmtId="0" fontId="6" fillId="2" borderId="12" xfId="0" applyFont="1" applyFill="1" applyBorder="1" applyAlignment="1" applyProtection="1">
      <alignment horizontal="center" vertical="center"/>
    </xf>
    <xf numFmtId="0" fontId="6" fillId="2" borderId="13" xfId="0" applyFont="1" applyFill="1" applyBorder="1" applyAlignment="1" applyProtection="1">
      <alignment horizontal="center" vertical="center"/>
    </xf>
    <xf numFmtId="0" fontId="6" fillId="0" borderId="0" xfId="0" applyFont="1" applyFill="1" applyBorder="1" applyAlignment="1" applyProtection="1">
      <alignment vertical="center"/>
    </xf>
    <xf numFmtId="165" fontId="0" fillId="0" borderId="17" xfId="0" applyNumberFormat="1" applyBorder="1" applyAlignment="1" applyProtection="1">
      <alignment horizontal="center" vertical="center"/>
    </xf>
    <xf numFmtId="165" fontId="0" fillId="0" borderId="18" xfId="0" applyNumberFormat="1" applyBorder="1" applyAlignment="1" applyProtection="1">
      <alignment horizontal="center" vertical="center"/>
    </xf>
    <xf numFmtId="165" fontId="0" fillId="0" borderId="0" xfId="0" applyNumberFormat="1" applyFill="1" applyBorder="1" applyAlignment="1" applyProtection="1">
      <alignment horizontal="center" vertical="center"/>
    </xf>
    <xf numFmtId="165" fontId="0" fillId="3" borderId="1" xfId="0" applyNumberFormat="1" applyFill="1" applyBorder="1" applyAlignment="1" applyProtection="1">
      <alignment horizontal="center" vertical="center"/>
    </xf>
    <xf numFmtId="0" fontId="6" fillId="13" borderId="12" xfId="0" applyFont="1" applyFill="1" applyBorder="1" applyAlignment="1" applyProtection="1">
      <alignment horizontal="center" vertical="center"/>
    </xf>
    <xf numFmtId="0" fontId="6" fillId="13" borderId="13" xfId="0" applyFont="1" applyFill="1" applyBorder="1" applyAlignment="1" applyProtection="1">
      <alignment horizontal="center" vertical="center"/>
    </xf>
    <xf numFmtId="165" fontId="0" fillId="12" borderId="1" xfId="0" applyNumberFormat="1" applyFill="1" applyBorder="1" applyAlignment="1" applyProtection="1">
      <alignment horizontal="center" vertical="center"/>
    </xf>
    <xf numFmtId="0" fontId="0" fillId="0" borderId="0" xfId="0" applyProtection="1"/>
    <xf numFmtId="0" fontId="1" fillId="0" borderId="0" xfId="0" quotePrefix="1" applyFont="1" applyAlignment="1" applyProtection="1">
      <alignment horizontal="center" vertical="center"/>
    </xf>
    <xf numFmtId="0" fontId="7" fillId="0" borderId="0" xfId="0" applyFont="1" applyAlignment="1" applyProtection="1">
      <alignment horizontal="center" vertical="center"/>
    </xf>
    <xf numFmtId="0" fontId="1" fillId="0" borderId="0" xfId="0" applyFont="1" applyFill="1" applyBorder="1" applyAlignment="1" applyProtection="1">
      <alignment horizontal="center" vertical="center"/>
    </xf>
    <xf numFmtId="0" fontId="6" fillId="13" borderId="3" xfId="0" applyFont="1" applyFill="1" applyBorder="1" applyAlignment="1">
      <alignment horizontal="left"/>
    </xf>
    <xf numFmtId="0" fontId="0" fillId="13" borderId="0" xfId="0" applyFill="1"/>
    <xf numFmtId="0" fontId="0" fillId="12" borderId="20" xfId="0" applyFont="1" applyFill="1" applyBorder="1" applyAlignment="1">
      <alignment horizontal="left"/>
    </xf>
    <xf numFmtId="165" fontId="0" fillId="12" borderId="0" xfId="0" applyNumberFormat="1" applyFill="1"/>
    <xf numFmtId="0" fontId="0" fillId="12" borderId="1" xfId="0" applyFont="1" applyFill="1" applyBorder="1" applyAlignment="1">
      <alignment horizontal="left"/>
    </xf>
    <xf numFmtId="0" fontId="2" fillId="2" borderId="1" xfId="0" applyFont="1" applyFill="1" applyBorder="1" applyAlignment="1" applyProtection="1">
      <alignment horizontal="center" vertical="center"/>
    </xf>
    <xf numFmtId="0" fontId="2" fillId="14" borderId="1" xfId="0" applyFont="1" applyFill="1" applyBorder="1" applyAlignment="1" applyProtection="1">
      <alignment horizontal="center" vertical="center"/>
    </xf>
    <xf numFmtId="0" fontId="2" fillId="13" borderId="1" xfId="0" applyFont="1" applyFill="1" applyBorder="1" applyAlignment="1" applyProtection="1">
      <alignment horizontal="center" vertical="center"/>
    </xf>
    <xf numFmtId="165" fontId="0" fillId="0" borderId="0" xfId="0" applyNumberFormat="1" applyAlignment="1" applyProtection="1">
      <alignment horizontal="center" vertical="center"/>
    </xf>
    <xf numFmtId="22" fontId="1" fillId="5" borderId="21" xfId="0" applyNumberFormat="1" applyFont="1" applyFill="1" applyBorder="1" applyAlignment="1" applyProtection="1">
      <alignment horizontal="center" vertical="center"/>
    </xf>
    <xf numFmtId="22" fontId="0" fillId="5" borderId="22" xfId="0" applyNumberFormat="1" applyFont="1" applyFill="1" applyBorder="1" applyAlignment="1" applyProtection="1">
      <alignment horizontal="center" vertical="center"/>
    </xf>
    <xf numFmtId="0" fontId="0" fillId="0" borderId="21" xfId="0" applyFill="1" applyBorder="1" applyAlignment="1" applyProtection="1">
      <alignment horizontal="center" vertical="center"/>
    </xf>
    <xf numFmtId="0" fontId="0" fillId="0" borderId="22" xfId="0" applyFill="1" applyBorder="1" applyAlignment="1" applyProtection="1">
      <alignment horizontal="center" vertical="center"/>
    </xf>
    <xf numFmtId="0" fontId="0" fillId="0" borderId="23" xfId="0" applyBorder="1" applyAlignment="1" applyProtection="1">
      <alignment horizontal="center" vertical="center"/>
    </xf>
    <xf numFmtId="0" fontId="0" fillId="0" borderId="22" xfId="0" applyBorder="1" applyAlignment="1" applyProtection="1">
      <alignment horizontal="center" vertical="center"/>
    </xf>
    <xf numFmtId="22" fontId="1" fillId="5" borderId="24" xfId="0" applyNumberFormat="1" applyFont="1" applyFill="1" applyBorder="1" applyAlignment="1" applyProtection="1">
      <alignment horizontal="center" vertical="center"/>
    </xf>
    <xf numFmtId="0" fontId="0" fillId="0" borderId="25" xfId="0" applyBorder="1" applyAlignment="1" applyProtection="1">
      <alignment horizontal="center" vertical="center"/>
    </xf>
    <xf numFmtId="0" fontId="0" fillId="0" borderId="26" xfId="0" applyBorder="1" applyAlignment="1" applyProtection="1">
      <alignment horizontal="center" vertical="center"/>
    </xf>
    <xf numFmtId="22" fontId="0" fillId="0" borderId="28" xfId="0" applyNumberFormat="1" applyBorder="1" applyAlignment="1" applyProtection="1">
      <alignment horizontal="center" vertical="center"/>
      <protection locked="0"/>
    </xf>
    <xf numFmtId="0" fontId="0" fillId="0" borderId="27" xfId="0" applyBorder="1" applyAlignment="1" applyProtection="1">
      <alignment horizontal="center" vertical="center"/>
    </xf>
    <xf numFmtId="0" fontId="6" fillId="7" borderId="29" xfId="0" applyFont="1" applyFill="1" applyBorder="1" applyAlignment="1">
      <alignment horizontal="center" vertical="center"/>
    </xf>
    <xf numFmtId="0" fontId="6" fillId="2" borderId="30" xfId="0" applyFont="1" applyFill="1" applyBorder="1" applyAlignment="1" applyProtection="1">
      <alignment horizontal="center" vertical="center"/>
      <protection locked="0"/>
    </xf>
    <xf numFmtId="164" fontId="0" fillId="0" borderId="32" xfId="0" applyNumberFormat="1" applyBorder="1" applyAlignment="1">
      <alignment horizontal="center" vertical="center"/>
    </xf>
    <xf numFmtId="0" fontId="6" fillId="7" borderId="33" xfId="0" applyFont="1" applyFill="1" applyBorder="1" applyAlignment="1">
      <alignment horizontal="center" vertical="center"/>
    </xf>
    <xf numFmtId="1" fontId="2" fillId="0" borderId="15" xfId="0" applyNumberFormat="1" applyFont="1" applyBorder="1" applyAlignment="1" applyProtection="1">
      <alignment horizontal="center" vertical="center"/>
    </xf>
    <xf numFmtId="165" fontId="2" fillId="0" borderId="31" xfId="0" applyNumberFormat="1" applyFont="1" applyBorder="1" applyAlignment="1" applyProtection="1">
      <alignment horizontal="center" vertical="center"/>
      <protection locked="0"/>
    </xf>
    <xf numFmtId="0" fontId="2" fillId="10" borderId="3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horizontal="center" vertical="center"/>
    </xf>
  </cellXfs>
  <cellStyles count="1">
    <cellStyle name="Normale" xfId="0" builtinId="0"/>
  </cellStyles>
  <dxfs count="42">
    <dxf>
      <numFmt numFmtId="165" formatCode="0.0"/>
      <fill>
        <patternFill>
          <fgColor indexed="64"/>
          <bgColor theme="4" tint="0.79998168889431442"/>
        </patternFill>
      </fill>
    </dxf>
    <dxf>
      <numFmt numFmtId="165" formatCode="0.0"/>
      <fill>
        <patternFill>
          <fgColor indexed="64"/>
          <bgColor theme="4" tint="0.79998168889431442"/>
        </patternFill>
      </fill>
    </dxf>
    <dxf>
      <numFmt numFmtId="165" formatCode="0.0"/>
      <fill>
        <patternFill>
          <fgColor indexed="64"/>
          <bgColor theme="4" tint="0.79998168889431442"/>
        </patternFill>
      </fill>
    </dxf>
    <dxf>
      <numFmt numFmtId="165" formatCode="0.0"/>
      <fill>
        <patternFill>
          <fgColor indexed="64"/>
          <bgColor theme="4" tint="0.79998168889431442"/>
        </patternFill>
      </fill>
    </dxf>
    <dxf>
      <numFmt numFmtId="165" formatCode="0.0"/>
      <fill>
        <patternFill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4" tint="0.79998168889431442"/>
        </patternFill>
      </fill>
    </dxf>
    <dxf>
      <fill>
        <patternFill>
          <fgColor indexed="64"/>
          <bgColor rgb="FF00B0F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31F20"/>
        <name val="Calibri"/>
        <scheme val="minor"/>
      </font>
      <fill>
        <patternFill patternType="solid">
          <fgColor indexed="64"/>
          <bgColor rgb="FFFDEDFA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31F20"/>
        <name val="Calibri"/>
        <scheme val="minor"/>
      </font>
      <fill>
        <patternFill patternType="solid">
          <fgColor indexed="64"/>
          <bgColor rgb="FFFDEDFA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31F20"/>
        <name val="Calibri"/>
        <scheme val="minor"/>
      </font>
      <fill>
        <patternFill patternType="solid">
          <fgColor indexed="64"/>
          <bgColor rgb="FFFDEDFA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31F20"/>
        <name val="Calibri"/>
        <scheme val="minor"/>
      </font>
      <fill>
        <patternFill patternType="solid">
          <fgColor indexed="64"/>
          <bgColor rgb="FFFDEDFA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rgb="FFFFCC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0.0"/>
      <fill>
        <patternFill patternType="solid">
          <fgColor indexed="64"/>
          <bgColor theme="7" tint="0.79998168889431442"/>
        </patternFill>
      </fill>
    </dxf>
    <dxf>
      <numFmt numFmtId="165" formatCode="0.0"/>
      <fill>
        <patternFill patternType="solid">
          <fgColor indexed="64"/>
          <bgColor theme="7" tint="0.79998168889431442"/>
        </patternFill>
      </fill>
    </dxf>
    <dxf>
      <numFmt numFmtId="165" formatCode="0.0"/>
      <fill>
        <patternFill patternType="solid">
          <fgColor indexed="64"/>
          <bgColor theme="7" tint="0.79998168889431442"/>
        </patternFill>
      </fill>
    </dxf>
    <dxf>
      <numFmt numFmtId="165" formatCode="0.0"/>
      <fill>
        <patternFill patternType="solid">
          <fgColor indexed="64"/>
          <bgColor theme="7" tint="0.79998168889431442"/>
        </patternFill>
      </fill>
    </dxf>
    <dxf>
      <numFmt numFmtId="165" formatCode="0.0"/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rgb="FFFFFB63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31F20"/>
        <name val="Calibri"/>
        <scheme val="minor"/>
      </font>
      <numFmt numFmtId="165" formatCode="0.0"/>
      <fill>
        <patternFill patternType="solid">
          <fgColor indexed="64"/>
          <bgColor theme="5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31F20"/>
        <name val="Calibri"/>
        <scheme val="minor"/>
      </font>
      <numFmt numFmtId="165" formatCode="0.0"/>
      <fill>
        <patternFill patternType="solid">
          <fgColor indexed="64"/>
          <bgColor theme="5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31F20"/>
        <name val="Calibri"/>
        <scheme val="minor"/>
      </font>
      <numFmt numFmtId="165" formatCode="0.0"/>
      <fill>
        <patternFill patternType="solid">
          <fgColor indexed="64"/>
          <bgColor theme="5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31F20"/>
        <name val="Calibri"/>
        <scheme val="minor"/>
      </font>
      <fill>
        <patternFill patternType="solid">
          <fgColor indexed="64"/>
          <bgColor theme="5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31F20"/>
        <name val="Calibri"/>
        <scheme val="minor"/>
      </font>
      <fill>
        <patternFill patternType="solid">
          <fgColor indexed="64"/>
          <bgColor theme="5" tint="0.59999389629810485"/>
        </patternFill>
      </fill>
      <alignment horizontal="center" vertical="center" textRotation="0" wrapText="1" indent="0" justifyLastLine="0" shrinkToFit="0" readingOrder="0"/>
    </dxf>
    <dxf>
      <border outline="0"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rgb="FFFF5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CC"/>
      <color rgb="FFFF5050"/>
      <color rgb="FFFDEDFA"/>
      <color rgb="FFFFCCFF"/>
      <color rgb="FF0066FF"/>
      <color rgb="FFFF9933"/>
      <color rgb="FFFFFB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ierica" displayName="Sierica" ref="B148:E221" totalsRowShown="0" headerRowDxfId="31" dataDxfId="29" headerRowBorderDxfId="30" tableBorderDxfId="28">
  <autoFilter ref="B148:E221" xr:uid="{00000000-0009-0000-0100-000001000000}"/>
  <tableColumns count="4">
    <tableColumn id="1" xr3:uid="{00000000-0010-0000-0000-000001000000}" name="Ora" dataDxfId="27"/>
    <tableColumn id="2" xr3:uid="{00000000-0010-0000-0000-000002000000}" name="50° percentile" dataDxfId="26"/>
    <tableColumn id="3" xr3:uid="{00000000-0010-0000-0000-000003000000}" name="75° percentile" dataDxfId="25"/>
    <tableColumn id="4" xr3:uid="{00000000-0010-0000-0000-000004000000}" name="90° percentile" dataDxfId="24"/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T" displayName="FT" ref="J148:O269" totalsRowShown="0" headerRowDxfId="23" dataDxfId="21" headerRowBorderDxfId="22">
  <autoFilter ref="J148:O269" xr:uid="{00000000-0009-0000-0100-000002000000}"/>
  <tableColumns count="6">
    <tableColumn id="1" xr3:uid="{00000000-0010-0000-0100-000001000000}" name="ore di vita" dataDxfId="20">
      <calculatedColumnFormula>J149+1</calculatedColumnFormula>
    </tableColumn>
    <tableColumn id="2" xr3:uid="{00000000-0010-0000-0100-000002000000}" name="EG &lt;30" dataDxfId="19"/>
    <tableColumn id="3" xr3:uid="{00000000-0010-0000-0100-000003000000}" name="EG 30-31,6" dataDxfId="18"/>
    <tableColumn id="4" xr3:uid="{00000000-0010-0000-0100-000004000000}" name="EG 32-34,6" dataDxfId="17"/>
    <tableColumn id="5" xr3:uid="{00000000-0010-0000-0100-000005000000}" name="EG 35-37,6" dataDxfId="16"/>
    <tableColumn id="6" xr3:uid="{00000000-0010-0000-0100-000006000000}" name="EG &gt;=38" dataDxfId="1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BTC" displayName="BTC" ref="B227:D300" totalsRowShown="0" headerRowDxfId="14" dataDxfId="12" headerRowBorderDxfId="13" tableBorderDxfId="11">
  <autoFilter ref="B227:D300" xr:uid="{00000000-0009-0000-0100-000003000000}"/>
  <tableColumns count="3">
    <tableColumn id="1" xr3:uid="{00000000-0010-0000-0200-000001000000}" name="Ora" dataDxfId="10"/>
    <tableColumn id="2" xr3:uid="{00000000-0010-0000-0200-000002000000}" name="50° percentile" dataDxfId="9"/>
    <tableColumn id="3" xr3:uid="{00000000-0010-0000-0200-000003000000}" name="75° percentile" dataDxfId="8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EXT" displayName="EXT" ref="Q148:V269" totalsRowShown="0" headerRowDxfId="7" dataDxfId="6">
  <autoFilter ref="Q148:V269" xr:uid="{00000000-0009-0000-0100-000004000000}"/>
  <tableColumns count="6">
    <tableColumn id="1" xr3:uid="{00000000-0010-0000-0300-000001000000}" name="ore di vita" dataDxfId="5">
      <calculatedColumnFormula>Q148+1</calculatedColumnFormula>
    </tableColumn>
    <tableColumn id="2" xr3:uid="{00000000-0010-0000-0300-000002000000}" name="&lt;30" dataDxfId="4"/>
    <tableColumn id="3" xr3:uid="{00000000-0010-0000-0300-000003000000}" name="&lt;32" dataDxfId="3"/>
    <tableColumn id="4" xr3:uid="{00000000-0010-0000-0300-000004000000}" name="&lt;35" dataDxfId="2"/>
    <tableColumn id="5" xr3:uid="{00000000-0010-0000-0300-000005000000}" name="&lt;38" dataDxfId="1"/>
    <tableColumn id="6" xr3:uid="{00000000-0010-0000-0300-000006000000}" name="up3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 /><Relationship Id="rId2" Type="http://schemas.openxmlformats.org/officeDocument/2006/relationships/table" Target="../tables/table1.xml" /><Relationship Id="rId1" Type="http://schemas.openxmlformats.org/officeDocument/2006/relationships/printerSettings" Target="../printerSettings/printerSettings2.bin" /><Relationship Id="rId5" Type="http://schemas.openxmlformats.org/officeDocument/2006/relationships/table" Target="../tables/table4.xml" /><Relationship Id="rId4" Type="http://schemas.openxmlformats.org/officeDocument/2006/relationships/table" Target="../tables/table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7"/>
  <sheetViews>
    <sheetView tabSelected="1" zoomScale="125" zoomScaleNormal="85" workbookViewId="0">
      <selection activeCell="B2" sqref="B2"/>
    </sheetView>
  </sheetViews>
  <sheetFormatPr defaultColWidth="8.875" defaultRowHeight="15" x14ac:dyDescent="0.2"/>
  <cols>
    <col min="1" max="1" width="18.96484375" style="1" customWidth="1"/>
    <col min="2" max="2" width="20.84765625" style="1" customWidth="1"/>
    <col min="3" max="3" width="9.953125" style="1" customWidth="1"/>
    <col min="4" max="4" width="13.44921875" style="1" customWidth="1"/>
    <col min="5" max="5" width="13.31640625" style="1" bestFit="1" customWidth="1"/>
    <col min="6" max="6" width="13.44921875" style="1" customWidth="1"/>
    <col min="7" max="7" width="11.1640625" style="4" customWidth="1"/>
    <col min="8" max="8" width="9.68359375" style="1" customWidth="1"/>
    <col min="9" max="9" width="10.89453125" style="39" customWidth="1"/>
    <col min="10" max="11" width="11.8359375" style="1" customWidth="1"/>
    <col min="12" max="12" width="9.55078125" style="1" customWidth="1"/>
    <col min="13" max="16384" width="8.875" style="1"/>
  </cols>
  <sheetData>
    <row r="1" spans="1:17" ht="15.75" thickBot="1" x14ac:dyDescent="0.25">
      <c r="A1" s="9" t="s">
        <v>4</v>
      </c>
      <c r="B1" s="91" t="s">
        <v>5</v>
      </c>
      <c r="C1" s="94" t="s">
        <v>1</v>
      </c>
      <c r="D1" s="92" t="s">
        <v>0</v>
      </c>
    </row>
    <row r="2" spans="1:17" ht="22.35" customHeight="1" thickBot="1" x14ac:dyDescent="0.25">
      <c r="A2" s="38">
        <v>44903.34652777778</v>
      </c>
      <c r="B2" s="89">
        <v>44904</v>
      </c>
      <c r="C2" s="93">
        <f>B2-A2</f>
        <v>0.65347222222044365</v>
      </c>
      <c r="D2" s="96">
        <v>39</v>
      </c>
      <c r="G2" s="40"/>
    </row>
    <row r="3" spans="1:17" ht="15.75" thickBot="1" x14ac:dyDescent="0.25">
      <c r="A3" s="88"/>
      <c r="B3" s="90"/>
      <c r="C3" s="95">
        <f xml:space="preserve"> ROUND(C2*24,0)</f>
        <v>16</v>
      </c>
      <c r="D3" s="42"/>
      <c r="E3" s="42"/>
      <c r="F3" s="42"/>
      <c r="G3" s="43"/>
      <c r="H3" s="42"/>
      <c r="I3" s="44"/>
      <c r="J3" s="42"/>
      <c r="K3" s="42"/>
      <c r="L3" s="42"/>
      <c r="M3" s="42"/>
      <c r="N3" s="42"/>
      <c r="O3" s="42"/>
      <c r="P3" s="42"/>
      <c r="Q3" s="42"/>
    </row>
    <row r="4" spans="1:17" ht="22.35" customHeight="1" thickBot="1" x14ac:dyDescent="0.25">
      <c r="A4" s="42"/>
      <c r="B4" s="42"/>
      <c r="C4" s="42"/>
      <c r="D4" s="42"/>
      <c r="E4" s="42"/>
      <c r="F4" s="42"/>
      <c r="G4" s="43"/>
      <c r="H4" s="42"/>
      <c r="I4" s="44"/>
      <c r="J4" s="42"/>
      <c r="K4" s="42"/>
      <c r="L4" s="42"/>
      <c r="M4" s="42"/>
      <c r="N4" s="42"/>
      <c r="O4" s="42"/>
      <c r="P4" s="42"/>
      <c r="Q4" s="42"/>
    </row>
    <row r="5" spans="1:17" x14ac:dyDescent="0.2">
      <c r="A5" s="45" t="s">
        <v>2</v>
      </c>
      <c r="B5" s="46" t="s">
        <v>30</v>
      </c>
      <c r="C5" s="42"/>
      <c r="D5" s="77" t="s">
        <v>24</v>
      </c>
      <c r="E5" s="77" t="s">
        <v>25</v>
      </c>
      <c r="F5" s="77" t="s">
        <v>26</v>
      </c>
      <c r="G5" s="51" t="s">
        <v>7</v>
      </c>
      <c r="H5" s="44"/>
      <c r="I5" s="42"/>
      <c r="J5" s="42"/>
      <c r="K5" s="42"/>
      <c r="L5" s="42"/>
      <c r="M5" s="42"/>
      <c r="N5" s="42"/>
      <c r="O5" s="42"/>
      <c r="P5" s="42"/>
    </row>
    <row r="6" spans="1:17" ht="15.75" thickBot="1" x14ac:dyDescent="0.25">
      <c r="A6" s="60">
        <v>10</v>
      </c>
      <c r="B6" s="49" t="e">
        <f>IF(A6&lt;D6,"&lt; 50°",IF(AND(A6&gt;D6,A6&lt;E6),"50°-75°",IF(A6=D6,"50°",IF(A6=E6,"75°","&gt; 75°"))))</f>
        <v>#N/A</v>
      </c>
      <c r="C6" s="42"/>
      <c r="D6" s="50" t="e">
        <f>INDEX(Sierica[50° percentile],G6)</f>
        <v>#N/A</v>
      </c>
      <c r="E6" s="50" t="e">
        <f>INDEX(Sierica[75° percentile],G6)</f>
        <v>#N/A</v>
      </c>
      <c r="F6" s="50" t="e">
        <f>INDEX(Sierica[90° percentile],G6)</f>
        <v>#N/A</v>
      </c>
      <c r="G6" s="51" t="e">
        <f>MATCH(C3,Foglio3!B149:B221,1)</f>
        <v>#N/A</v>
      </c>
      <c r="H6" s="42"/>
      <c r="I6" s="44"/>
      <c r="J6" s="42"/>
      <c r="K6" s="42"/>
      <c r="L6" s="42"/>
      <c r="M6" s="42"/>
      <c r="N6" s="42"/>
      <c r="O6" s="42"/>
      <c r="P6" s="42"/>
      <c r="Q6" s="42"/>
    </row>
    <row r="7" spans="1:17" ht="15.6" customHeight="1" x14ac:dyDescent="0.2">
      <c r="A7" s="82"/>
      <c r="B7" s="80" t="str">
        <f>IF($D$2&lt;37,"PREMATURO", "")</f>
        <v/>
      </c>
      <c r="C7" s="42"/>
      <c r="D7" s="42"/>
      <c r="E7" s="42"/>
      <c r="F7" s="42"/>
      <c r="G7" s="47"/>
      <c r="H7" s="42"/>
      <c r="I7" s="44"/>
      <c r="J7" s="42"/>
      <c r="K7" s="42"/>
      <c r="L7" s="42"/>
      <c r="M7" s="42"/>
      <c r="N7" s="42"/>
      <c r="O7" s="42"/>
      <c r="P7" s="42"/>
      <c r="Q7" s="42"/>
    </row>
    <row r="8" spans="1:17" ht="15.6" customHeight="1" thickBot="1" x14ac:dyDescent="0.25">
      <c r="A8" s="83"/>
      <c r="B8" s="81"/>
      <c r="C8" s="42"/>
      <c r="D8" s="42"/>
      <c r="E8" s="42"/>
      <c r="F8" s="47"/>
      <c r="G8" s="42"/>
      <c r="H8" s="42"/>
      <c r="I8" s="44"/>
      <c r="J8" s="42"/>
      <c r="K8" s="42"/>
      <c r="L8" s="42"/>
      <c r="M8" s="42"/>
      <c r="N8" s="42"/>
      <c r="O8" s="42"/>
      <c r="P8" s="42"/>
      <c r="Q8" s="42"/>
    </row>
    <row r="9" spans="1:17" x14ac:dyDescent="0.2">
      <c r="A9" s="52" t="s">
        <v>28</v>
      </c>
      <c r="B9" s="53" t="s">
        <v>29</v>
      </c>
      <c r="C9" s="42"/>
      <c r="D9" s="54" t="s">
        <v>24</v>
      </c>
      <c r="E9" s="54" t="s">
        <v>25</v>
      </c>
      <c r="F9" s="42"/>
      <c r="G9" s="51" t="s">
        <v>7</v>
      </c>
      <c r="H9" s="44"/>
      <c r="I9" s="42"/>
      <c r="J9" s="42"/>
      <c r="K9" s="42"/>
      <c r="L9" s="42"/>
      <c r="M9" s="42"/>
      <c r="N9" s="42"/>
      <c r="O9" s="42"/>
      <c r="P9" s="42"/>
    </row>
    <row r="10" spans="1:17" ht="15.75" thickBot="1" x14ac:dyDescent="0.25">
      <c r="A10" s="48">
        <v>9.6999999999999993</v>
      </c>
      <c r="B10" s="49" t="e">
        <f>IF(A10&lt;D10,"&lt; 50°",IF(AND(A10&gt;D10,A10&lt;E10),"50°-75°",IF(A10=D10,"50°",IF(A10=E10,"75°","&gt; 75°"))))</f>
        <v>#N/A</v>
      </c>
      <c r="C10" s="42"/>
      <c r="D10" s="55" t="e">
        <f>INDEX(BTC[50° percentile],G10)</f>
        <v>#N/A</v>
      </c>
      <c r="E10" s="55" t="e">
        <f>INDEX(BTC[75° percentile],G10)</f>
        <v>#N/A</v>
      </c>
      <c r="F10" s="42"/>
      <c r="G10" s="51" t="e">
        <f>MATCH(C3,Foglio3!B228:B300,1)</f>
        <v>#N/A</v>
      </c>
      <c r="H10" s="42"/>
      <c r="I10" s="44"/>
      <c r="J10" s="42"/>
      <c r="K10" s="42"/>
      <c r="L10" s="42"/>
      <c r="M10" s="42"/>
      <c r="N10" s="42"/>
      <c r="O10" s="42"/>
      <c r="P10" s="42"/>
      <c r="Q10" s="42"/>
    </row>
    <row r="11" spans="1:17" x14ac:dyDescent="0.2">
      <c r="A11" s="84"/>
      <c r="B11" s="86" t="str">
        <f>IF($D$2&lt;37,"PREMATURO","")</f>
        <v/>
      </c>
      <c r="C11" s="42"/>
      <c r="H11" s="42"/>
      <c r="I11" s="51"/>
      <c r="J11" s="42"/>
      <c r="K11" s="42"/>
      <c r="L11" s="42"/>
      <c r="M11" s="42"/>
      <c r="N11" s="42"/>
      <c r="O11" s="42"/>
      <c r="P11" s="42"/>
      <c r="Q11" s="42"/>
    </row>
    <row r="12" spans="1:17" ht="15.75" thickBot="1" x14ac:dyDescent="0.25">
      <c r="A12" s="85"/>
      <c r="B12" s="87"/>
      <c r="C12" s="42"/>
      <c r="D12" s="42"/>
      <c r="E12" s="42"/>
      <c r="F12" s="42"/>
      <c r="G12" s="56"/>
      <c r="H12" s="42"/>
      <c r="I12" s="51"/>
      <c r="J12" s="42"/>
      <c r="K12" s="42"/>
      <c r="L12" s="42"/>
      <c r="M12" s="42"/>
      <c r="N12" s="42"/>
      <c r="O12" s="42"/>
      <c r="P12" s="42"/>
      <c r="Q12" s="42"/>
    </row>
    <row r="13" spans="1:17" x14ac:dyDescent="0.2">
      <c r="A13" s="57" t="s">
        <v>0</v>
      </c>
      <c r="B13" s="58" t="s">
        <v>15</v>
      </c>
      <c r="C13" s="59"/>
      <c r="D13" s="76" t="s">
        <v>17</v>
      </c>
      <c r="E13" s="76" t="s">
        <v>18</v>
      </c>
      <c r="F13" s="76" t="s">
        <v>19</v>
      </c>
      <c r="G13" s="76" t="s">
        <v>20</v>
      </c>
      <c r="H13" s="76" t="s">
        <v>41</v>
      </c>
      <c r="I13" s="51" t="s">
        <v>7</v>
      </c>
      <c r="J13" s="42"/>
      <c r="K13" s="42"/>
      <c r="L13" s="42"/>
      <c r="M13" s="42"/>
      <c r="N13" s="42"/>
      <c r="O13" s="42"/>
      <c r="P13" s="42"/>
      <c r="Q13" s="42"/>
    </row>
    <row r="14" spans="1:17" ht="15.75" thickBot="1" x14ac:dyDescent="0.25">
      <c r="A14" s="60">
        <f>D2</f>
        <v>39</v>
      </c>
      <c r="B14" s="61">
        <f>IF(A14&lt;30,D14,IF(A14&lt;32,E14,IF(A14&lt;35,F14,IF(A14&lt;38,G14,H14))))</f>
        <v>9.8333333333333304</v>
      </c>
      <c r="C14" s="62"/>
      <c r="D14" s="63">
        <f>INDEX(FT[EG &lt;30],I14)</f>
        <v>6</v>
      </c>
      <c r="E14" s="63">
        <f>INDEX(FT[EG 30-31,6],$I14)</f>
        <v>6.3333333333333304</v>
      </c>
      <c r="F14" s="63">
        <f>INDEX(FT[EG 32-34,6],$I14)</f>
        <v>6.6666666666666696</v>
      </c>
      <c r="G14" s="63">
        <f>INDEX(FT[EG 35-37,6],$I14)</f>
        <v>8.3333333333333304</v>
      </c>
      <c r="H14" s="63">
        <f>INDEX(FT[EG &gt;=38],$I14)</f>
        <v>9.8333333333333304</v>
      </c>
      <c r="I14" s="51">
        <f>MATCH(C3,Foglio3!J149:J269,1)</f>
        <v>17</v>
      </c>
      <c r="J14" s="42"/>
      <c r="K14" s="42"/>
      <c r="L14" s="42"/>
      <c r="M14" s="42"/>
      <c r="N14" s="42"/>
      <c r="O14" s="42"/>
      <c r="P14" s="42"/>
      <c r="Q14" s="42"/>
    </row>
    <row r="15" spans="1:17" x14ac:dyDescent="0.2">
      <c r="A15" s="42" t="s">
        <v>31</v>
      </c>
      <c r="B15" s="42"/>
      <c r="C15" s="42"/>
      <c r="D15" s="42"/>
      <c r="E15" s="42"/>
      <c r="F15" s="42"/>
      <c r="G15" s="56"/>
      <c r="H15" s="42"/>
      <c r="I15" s="51"/>
      <c r="J15" s="42"/>
      <c r="K15" s="42"/>
      <c r="L15" s="42"/>
      <c r="M15" s="42"/>
      <c r="N15" s="42"/>
      <c r="O15" s="42"/>
      <c r="P15" s="42"/>
      <c r="Q15" s="42"/>
    </row>
    <row r="16" spans="1:17" ht="15.75" thickBot="1" x14ac:dyDescent="0.25">
      <c r="A16" s="42"/>
      <c r="B16" s="44"/>
      <c r="C16" s="44"/>
      <c r="D16" s="44"/>
      <c r="E16" s="44"/>
      <c r="F16" s="44"/>
      <c r="G16" s="43"/>
      <c r="H16" s="44"/>
      <c r="I16" s="51"/>
      <c r="J16" s="42"/>
      <c r="K16" s="42"/>
      <c r="L16" s="42"/>
      <c r="M16" s="42"/>
      <c r="N16" s="42"/>
      <c r="O16" s="42"/>
      <c r="P16" s="42"/>
      <c r="Q16" s="42"/>
    </row>
    <row r="17" spans="1:17" x14ac:dyDescent="0.2">
      <c r="A17" s="64" t="s">
        <v>0</v>
      </c>
      <c r="B17" s="65" t="s">
        <v>34</v>
      </c>
      <c r="C17" s="59"/>
      <c r="D17" s="78" t="s">
        <v>17</v>
      </c>
      <c r="E17" s="78" t="s">
        <v>18</v>
      </c>
      <c r="F17" s="78" t="s">
        <v>19</v>
      </c>
      <c r="G17" s="78" t="s">
        <v>20</v>
      </c>
      <c r="H17" s="78" t="s">
        <v>41</v>
      </c>
      <c r="I17" s="51" t="s">
        <v>7</v>
      </c>
      <c r="J17" s="42"/>
      <c r="K17" s="42"/>
      <c r="L17" s="42"/>
      <c r="M17" s="42"/>
      <c r="N17" s="42"/>
      <c r="O17" s="42"/>
      <c r="P17" s="42"/>
      <c r="Q17" s="42"/>
    </row>
    <row r="18" spans="1:17" ht="15.75" thickBot="1" x14ac:dyDescent="0.25">
      <c r="A18" s="60">
        <f>D2</f>
        <v>39</v>
      </c>
      <c r="B18" s="61">
        <f>IF(A18&lt;30,D18,IF(A18&lt;32,E18,IF(A18&lt;35,F18,IF(A18&lt;38,G18,H18))))</f>
        <v>18</v>
      </c>
      <c r="C18" s="62"/>
      <c r="D18" s="66">
        <f>INDEX(EXT[&lt;30],$I18)</f>
        <v>10.3333333333333</v>
      </c>
      <c r="E18" s="66">
        <f>INDEX(EXT[&lt;32],$I18)</f>
        <v>12.3333333333333</v>
      </c>
      <c r="F18" s="66">
        <f>INDEX(EXT[&lt;35],$I18)</f>
        <v>14</v>
      </c>
      <c r="G18" s="66">
        <f>INDEX(EXT[&lt;38],$I18)</f>
        <v>15.5</v>
      </c>
      <c r="H18" s="66">
        <f>INDEX(EXT[up38],$I18)</f>
        <v>18</v>
      </c>
      <c r="I18" s="51">
        <f>MATCH(C3,Foglio3!Q149:Q269,1)</f>
        <v>17</v>
      </c>
      <c r="J18" s="42"/>
      <c r="K18" s="42"/>
      <c r="L18" s="42"/>
      <c r="M18" s="42"/>
      <c r="N18" s="42"/>
      <c r="O18" s="42"/>
      <c r="P18" s="42"/>
      <c r="Q18" s="42"/>
    </row>
    <row r="19" spans="1:17" x14ac:dyDescent="0.2">
      <c r="A19" s="42"/>
      <c r="B19" s="44"/>
      <c r="C19" s="44"/>
      <c r="D19" s="44"/>
      <c r="E19" s="44"/>
      <c r="F19" s="44"/>
      <c r="G19" s="43"/>
      <c r="H19" s="44"/>
      <c r="I19" s="44"/>
      <c r="J19" s="42"/>
      <c r="K19" s="42"/>
      <c r="L19" s="42"/>
      <c r="M19" s="42"/>
      <c r="N19" s="42"/>
      <c r="O19" s="42"/>
      <c r="P19" s="42"/>
      <c r="Q19" s="42"/>
    </row>
    <row r="20" spans="1:17" x14ac:dyDescent="0.2">
      <c r="A20" s="42"/>
      <c r="B20" s="44"/>
      <c r="C20" s="44"/>
      <c r="D20" s="44"/>
      <c r="E20" s="44"/>
      <c r="F20" s="44"/>
      <c r="G20" s="43"/>
      <c r="H20" s="44"/>
      <c r="I20" s="44"/>
      <c r="J20" s="42"/>
      <c r="K20" s="42"/>
      <c r="L20" s="42"/>
      <c r="M20" s="42"/>
      <c r="N20" s="42"/>
      <c r="O20" s="42"/>
      <c r="P20" s="42"/>
      <c r="Q20" s="42"/>
    </row>
    <row r="21" spans="1:17" x14ac:dyDescent="0.2">
      <c r="A21" s="42"/>
      <c r="B21" s="44"/>
      <c r="C21" s="44"/>
      <c r="D21" s="44"/>
      <c r="E21" s="44"/>
      <c r="F21" s="44"/>
      <c r="G21" s="43"/>
      <c r="H21" s="44"/>
      <c r="I21" s="44"/>
      <c r="J21" s="42"/>
      <c r="K21" s="42"/>
      <c r="L21" s="42"/>
      <c r="M21" s="42"/>
      <c r="N21" s="42"/>
      <c r="O21" s="42"/>
      <c r="P21" s="42"/>
      <c r="Q21" s="42"/>
    </row>
    <row r="22" spans="1:17" x14ac:dyDescent="0.2">
      <c r="A22" s="42"/>
      <c r="B22" s="44"/>
      <c r="C22" s="44"/>
      <c r="D22" s="44"/>
      <c r="E22" s="44"/>
      <c r="F22" s="44"/>
      <c r="G22" s="43"/>
      <c r="H22" s="44"/>
      <c r="I22" s="44"/>
      <c r="J22" s="42"/>
      <c r="K22" s="42"/>
      <c r="L22" s="42"/>
      <c r="M22" s="67"/>
      <c r="N22" s="42"/>
      <c r="O22" s="67"/>
      <c r="P22" s="42"/>
      <c r="Q22" s="42"/>
    </row>
    <row r="23" spans="1:17" x14ac:dyDescent="0.2">
      <c r="A23" s="79"/>
      <c r="B23" s="44"/>
      <c r="C23" s="44"/>
      <c r="D23" s="44"/>
      <c r="E23" s="44"/>
      <c r="F23" s="44"/>
      <c r="G23" s="43"/>
      <c r="H23" s="44"/>
      <c r="I23" s="44"/>
      <c r="J23" s="42"/>
      <c r="K23" s="42"/>
      <c r="L23" s="42"/>
      <c r="M23" s="42"/>
      <c r="N23" s="42"/>
      <c r="O23" s="42"/>
      <c r="P23" s="42"/>
      <c r="Q23" s="42"/>
    </row>
    <row r="24" spans="1:17" x14ac:dyDescent="0.2">
      <c r="A24" s="42"/>
      <c r="B24" s="44"/>
      <c r="C24" s="44"/>
      <c r="D24" s="44"/>
      <c r="E24" s="44"/>
      <c r="F24" s="44"/>
      <c r="G24" s="43"/>
      <c r="H24" s="44"/>
      <c r="I24" s="44"/>
      <c r="J24" s="42"/>
      <c r="K24" s="42"/>
      <c r="L24" s="42"/>
      <c r="M24" s="42"/>
      <c r="N24" s="42"/>
      <c r="O24" s="42"/>
      <c r="P24" s="42"/>
      <c r="Q24" s="42"/>
    </row>
    <row r="25" spans="1:17" x14ac:dyDescent="0.2">
      <c r="A25" s="42"/>
      <c r="B25" s="44"/>
      <c r="C25" s="44"/>
      <c r="D25" s="44"/>
      <c r="E25" s="44"/>
      <c r="F25" s="44"/>
      <c r="G25" s="43"/>
      <c r="H25" s="44"/>
      <c r="I25" s="44"/>
      <c r="J25" s="42"/>
      <c r="K25" s="42"/>
      <c r="L25" s="42"/>
      <c r="M25" s="42"/>
      <c r="N25" s="42"/>
      <c r="O25" s="42"/>
      <c r="P25" s="42"/>
      <c r="Q25" s="42"/>
    </row>
    <row r="26" spans="1:17" x14ac:dyDescent="0.2">
      <c r="A26" s="42"/>
      <c r="B26" s="44"/>
      <c r="C26" s="44"/>
      <c r="D26" s="44"/>
      <c r="E26" s="68"/>
      <c r="F26" s="44"/>
      <c r="G26" s="43"/>
      <c r="H26" s="44"/>
      <c r="I26" s="44"/>
      <c r="J26" s="42"/>
      <c r="K26" s="42"/>
      <c r="L26" s="42"/>
      <c r="M26" s="42"/>
      <c r="N26" s="42"/>
      <c r="O26" s="42"/>
      <c r="P26" s="42"/>
      <c r="Q26" s="42"/>
    </row>
    <row r="27" spans="1:17" x14ac:dyDescent="0.2">
      <c r="A27" s="42"/>
      <c r="B27" s="44"/>
      <c r="C27" s="44"/>
      <c r="D27" s="44"/>
      <c r="E27" s="44"/>
      <c r="F27" s="44"/>
      <c r="G27" s="43"/>
      <c r="H27" s="44"/>
      <c r="I27" s="44"/>
      <c r="J27" s="42"/>
      <c r="K27" s="42"/>
      <c r="L27" s="42"/>
      <c r="M27" s="42"/>
      <c r="N27" s="42"/>
      <c r="O27" s="42"/>
      <c r="P27" s="42"/>
      <c r="Q27" s="42"/>
    </row>
    <row r="28" spans="1:17" x14ac:dyDescent="0.2">
      <c r="A28" s="69"/>
      <c r="B28" s="70"/>
      <c r="C28" s="70"/>
      <c r="D28" s="70"/>
      <c r="E28" s="44"/>
      <c r="F28" s="44"/>
      <c r="G28" s="43"/>
      <c r="H28" s="44"/>
      <c r="I28" s="44"/>
      <c r="J28" s="42"/>
      <c r="K28" s="42"/>
      <c r="L28" s="42"/>
      <c r="M28" s="42"/>
      <c r="N28" s="42"/>
      <c r="O28" s="42"/>
      <c r="P28" s="42"/>
      <c r="Q28" s="42"/>
    </row>
    <row r="29" spans="1:17" x14ac:dyDescent="0.2">
      <c r="B29" s="39"/>
      <c r="C29" s="39"/>
      <c r="D29" s="39"/>
      <c r="E29" s="39"/>
      <c r="F29" s="39"/>
      <c r="G29" s="40"/>
      <c r="H29" s="39"/>
    </row>
    <row r="30" spans="1:17" x14ac:dyDescent="0.2">
      <c r="B30" s="39"/>
      <c r="C30" s="39"/>
      <c r="D30" s="41"/>
      <c r="E30" s="39"/>
      <c r="F30" s="39"/>
      <c r="G30" s="39"/>
      <c r="H30" s="39"/>
    </row>
    <row r="31" spans="1:17" x14ac:dyDescent="0.2">
      <c r="D31" s="16"/>
      <c r="G31" s="1"/>
    </row>
    <row r="47" spans="6:6" x14ac:dyDescent="0.2">
      <c r="F47" s="2"/>
    </row>
  </sheetData>
  <conditionalFormatting sqref="B6">
    <cfRule type="expression" dxfId="41" priority="47" stopIfTrue="1">
      <formula>AND($D$2&lt;37,A6&gt;=D6)</formula>
    </cfRule>
    <cfRule type="expression" dxfId="40" priority="48">
      <formula>AND(A6&gt;=D6,C3&lt;=48)</formula>
    </cfRule>
    <cfRule type="expression" dxfId="39" priority="49">
      <formula>AND(A6&lt;E6,C3&gt;48)</formula>
    </cfRule>
    <cfRule type="expression" dxfId="38" priority="50">
      <formula>A6&gt;=E6</formula>
    </cfRule>
    <cfRule type="expression" dxfId="37" priority="51">
      <formula>A6&lt;D6</formula>
    </cfRule>
  </conditionalFormatting>
  <conditionalFormatting sqref="B10">
    <cfRule type="expression" dxfId="36" priority="52">
      <formula>AND($D$2&lt;37,A10&gt;=D10)</formula>
    </cfRule>
    <cfRule type="expression" dxfId="35" priority="53">
      <formula>AND(A10&gt;=D10,C3&lt;=48)</formula>
    </cfRule>
    <cfRule type="expression" dxfId="34" priority="54">
      <formula>AND(A10&lt;E10,C3&gt;48)</formula>
    </cfRule>
    <cfRule type="expression" dxfId="33" priority="55">
      <formula>A10&gt;=E10</formula>
    </cfRule>
    <cfRule type="expression" dxfId="32" priority="56">
      <formula>A10&lt;D10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22"/>
  <sheetViews>
    <sheetView topLeftCell="D1" workbookViewId="0">
      <selection activeCell="N15" sqref="N15"/>
    </sheetView>
  </sheetViews>
  <sheetFormatPr defaultColWidth="8.875" defaultRowHeight="15" x14ac:dyDescent="0.2"/>
  <cols>
    <col min="2" max="2" width="8.47265625" bestFit="1" customWidth="1"/>
    <col min="3" max="5" width="16.8125" bestFit="1" customWidth="1"/>
    <col min="10" max="10" width="11.43359375" bestFit="1" customWidth="1"/>
    <col min="12" max="14" width="12.10546875" bestFit="1" customWidth="1"/>
    <col min="15" max="15" width="9.81640625" bestFit="1" customWidth="1"/>
    <col min="17" max="17" width="11.1640625" customWidth="1"/>
  </cols>
  <sheetData>
    <row r="1" spans="1:19" x14ac:dyDescent="0.2">
      <c r="A1" t="s">
        <v>8</v>
      </c>
      <c r="E1" t="s">
        <v>11</v>
      </c>
      <c r="I1" t="s">
        <v>12</v>
      </c>
      <c r="M1" t="s">
        <v>13</v>
      </c>
      <c r="Q1" t="s">
        <v>14</v>
      </c>
    </row>
    <row r="2" spans="1:19" x14ac:dyDescent="0.2">
      <c r="A2" t="s">
        <v>9</v>
      </c>
      <c r="B2" t="s">
        <v>32</v>
      </c>
      <c r="C2" t="s">
        <v>33</v>
      </c>
      <c r="E2" t="s">
        <v>9</v>
      </c>
      <c r="F2" t="s">
        <v>32</v>
      </c>
      <c r="G2" t="s">
        <v>33</v>
      </c>
      <c r="I2" t="s">
        <v>9</v>
      </c>
      <c r="J2" t="s">
        <v>32</v>
      </c>
      <c r="K2" t="s">
        <v>33</v>
      </c>
      <c r="M2" t="s">
        <v>9</v>
      </c>
      <c r="N2" t="s">
        <v>32</v>
      </c>
      <c r="O2" t="s">
        <v>33</v>
      </c>
      <c r="Q2" t="s">
        <v>9</v>
      </c>
      <c r="R2" t="s">
        <v>32</v>
      </c>
      <c r="S2" t="s">
        <v>33</v>
      </c>
    </row>
    <row r="3" spans="1:19" x14ac:dyDescent="0.2">
      <c r="A3">
        <v>0</v>
      </c>
      <c r="B3" s="3">
        <v>6</v>
      </c>
      <c r="C3" s="3">
        <v>8</v>
      </c>
      <c r="E3">
        <v>0</v>
      </c>
      <c r="F3" s="3">
        <v>6</v>
      </c>
      <c r="G3" s="3">
        <v>10</v>
      </c>
      <c r="I3">
        <v>0</v>
      </c>
      <c r="J3" s="3">
        <v>6</v>
      </c>
      <c r="K3" s="3">
        <v>12</v>
      </c>
      <c r="M3">
        <v>0</v>
      </c>
      <c r="N3" s="3">
        <v>6</v>
      </c>
      <c r="O3" s="3">
        <v>14</v>
      </c>
      <c r="Q3">
        <v>0</v>
      </c>
      <c r="R3" s="3">
        <v>6.8</v>
      </c>
      <c r="S3" s="3">
        <v>16</v>
      </c>
    </row>
    <row r="4" spans="1:19" x14ac:dyDescent="0.2">
      <c r="A4">
        <v>1</v>
      </c>
      <c r="B4" s="3">
        <v>6</v>
      </c>
      <c r="C4" s="3">
        <v>8.1666666666666696</v>
      </c>
      <c r="E4">
        <v>1</v>
      </c>
      <c r="F4" s="3">
        <v>6</v>
      </c>
      <c r="G4" s="3">
        <v>10.1666666666667</v>
      </c>
      <c r="I4">
        <v>1</v>
      </c>
      <c r="J4" s="3">
        <v>6</v>
      </c>
      <c r="K4" s="3">
        <v>12.125</v>
      </c>
      <c r="M4">
        <v>1</v>
      </c>
      <c r="N4" s="3">
        <v>6.125</v>
      </c>
      <c r="O4" s="3">
        <v>14.0833333333333</v>
      </c>
      <c r="Q4">
        <v>1</v>
      </c>
      <c r="R4" s="3">
        <v>6.9833333333333298</v>
      </c>
      <c r="S4" s="3">
        <v>16.125</v>
      </c>
    </row>
    <row r="5" spans="1:19" x14ac:dyDescent="0.2">
      <c r="A5">
        <f>A4+1</f>
        <v>2</v>
      </c>
      <c r="B5" s="3">
        <v>6</v>
      </c>
      <c r="C5" s="3">
        <v>8.3333333333333304</v>
      </c>
      <c r="E5">
        <f>E4+1</f>
        <v>2</v>
      </c>
      <c r="F5" s="3">
        <v>6</v>
      </c>
      <c r="G5" s="3">
        <v>10.3333333333333</v>
      </c>
      <c r="I5">
        <f>I4+1</f>
        <v>2</v>
      </c>
      <c r="J5" s="3">
        <v>6</v>
      </c>
      <c r="K5" s="3">
        <v>12.25</v>
      </c>
      <c r="M5">
        <f>M4+1</f>
        <v>2</v>
      </c>
      <c r="N5" s="3">
        <v>6.25</v>
      </c>
      <c r="O5" s="3">
        <v>14.1666666666667</v>
      </c>
      <c r="Q5">
        <f>Q4+1</f>
        <v>2</v>
      </c>
      <c r="R5" s="3">
        <v>7.1666666666666696</v>
      </c>
      <c r="S5" s="3">
        <v>16.25</v>
      </c>
    </row>
    <row r="6" spans="1:19" x14ac:dyDescent="0.2">
      <c r="A6">
        <f t="shared" ref="A6:A69" si="0">A5+1</f>
        <v>3</v>
      </c>
      <c r="B6" s="3">
        <v>6</v>
      </c>
      <c r="C6" s="3">
        <v>8.5</v>
      </c>
      <c r="E6">
        <f t="shared" ref="E6:E69" si="1">E5+1</f>
        <v>3</v>
      </c>
      <c r="F6" s="3">
        <v>6</v>
      </c>
      <c r="G6" s="3">
        <v>10.5</v>
      </c>
      <c r="I6">
        <f t="shared" ref="I6:I69" si="2">I5+1</f>
        <v>3</v>
      </c>
      <c r="J6" s="3">
        <v>6</v>
      </c>
      <c r="K6" s="3">
        <v>12.375</v>
      </c>
      <c r="M6">
        <f t="shared" ref="M6:M69" si="3">M5+1</f>
        <v>3</v>
      </c>
      <c r="N6" s="3">
        <v>6.375</v>
      </c>
      <c r="O6" s="3">
        <v>14.25</v>
      </c>
      <c r="Q6">
        <f t="shared" ref="Q6:Q69" si="4">Q5+1</f>
        <v>3</v>
      </c>
      <c r="R6" s="3">
        <v>7.35</v>
      </c>
      <c r="S6" s="3">
        <v>16.375</v>
      </c>
    </row>
    <row r="7" spans="1:19" x14ac:dyDescent="0.2">
      <c r="A7">
        <f t="shared" si="0"/>
        <v>4</v>
      </c>
      <c r="B7" s="3">
        <v>6</v>
      </c>
      <c r="C7" s="3">
        <v>8.6666666666666696</v>
      </c>
      <c r="E7">
        <f t="shared" si="1"/>
        <v>4</v>
      </c>
      <c r="F7" s="3">
        <v>6</v>
      </c>
      <c r="G7" s="3">
        <v>10.6666666666667</v>
      </c>
      <c r="I7">
        <f t="shared" si="2"/>
        <v>4</v>
      </c>
      <c r="J7" s="3">
        <v>6</v>
      </c>
      <c r="K7" s="3">
        <v>12.5</v>
      </c>
      <c r="M7">
        <f t="shared" si="3"/>
        <v>4</v>
      </c>
      <c r="N7" s="3">
        <v>6.5</v>
      </c>
      <c r="O7" s="3">
        <v>14.3333333333333</v>
      </c>
      <c r="Q7">
        <f t="shared" si="4"/>
        <v>4</v>
      </c>
      <c r="R7" s="3">
        <v>7.5333333333333297</v>
      </c>
      <c r="S7" s="3">
        <v>16.5</v>
      </c>
    </row>
    <row r="8" spans="1:19" x14ac:dyDescent="0.2">
      <c r="A8">
        <f t="shared" si="0"/>
        <v>5</v>
      </c>
      <c r="B8" s="3">
        <v>6</v>
      </c>
      <c r="C8" s="3">
        <v>8.8333333333333304</v>
      </c>
      <c r="E8">
        <f t="shared" si="1"/>
        <v>5</v>
      </c>
      <c r="F8" s="3">
        <v>6</v>
      </c>
      <c r="G8" s="3">
        <v>10.8333333333333</v>
      </c>
      <c r="I8">
        <f t="shared" si="2"/>
        <v>5</v>
      </c>
      <c r="J8" s="3">
        <v>6</v>
      </c>
      <c r="K8" s="3">
        <v>12.625</v>
      </c>
      <c r="M8">
        <f t="shared" si="3"/>
        <v>5</v>
      </c>
      <c r="N8" s="3">
        <v>6.625</v>
      </c>
      <c r="O8" s="3">
        <v>14.4166666666667</v>
      </c>
      <c r="Q8">
        <f t="shared" si="4"/>
        <v>5</v>
      </c>
      <c r="R8" s="3">
        <v>7.7166666666666703</v>
      </c>
      <c r="S8" s="3">
        <v>16.625</v>
      </c>
    </row>
    <row r="9" spans="1:19" x14ac:dyDescent="0.2">
      <c r="A9">
        <f t="shared" si="0"/>
        <v>6</v>
      </c>
      <c r="B9" s="3">
        <v>6</v>
      </c>
      <c r="C9" s="3">
        <v>9</v>
      </c>
      <c r="E9">
        <f t="shared" si="1"/>
        <v>6</v>
      </c>
      <c r="F9" s="3">
        <v>6</v>
      </c>
      <c r="G9" s="3">
        <v>11</v>
      </c>
      <c r="I9">
        <f t="shared" si="2"/>
        <v>6</v>
      </c>
      <c r="J9" s="3">
        <v>6</v>
      </c>
      <c r="K9" s="3">
        <v>12.75</v>
      </c>
      <c r="M9">
        <f t="shared" si="3"/>
        <v>6</v>
      </c>
      <c r="N9" s="3">
        <v>6.75</v>
      </c>
      <c r="O9" s="3">
        <v>14.5</v>
      </c>
      <c r="Q9">
        <f t="shared" si="4"/>
        <v>6</v>
      </c>
      <c r="R9" s="3">
        <v>7.9</v>
      </c>
      <c r="S9" s="3">
        <v>16.75</v>
      </c>
    </row>
    <row r="10" spans="1:19" x14ac:dyDescent="0.2">
      <c r="A10">
        <f t="shared" si="0"/>
        <v>7</v>
      </c>
      <c r="B10" s="3">
        <v>6</v>
      </c>
      <c r="C10" s="3">
        <v>9.1666666666666696</v>
      </c>
      <c r="E10">
        <f t="shared" si="1"/>
        <v>7</v>
      </c>
      <c r="F10" s="3">
        <v>6</v>
      </c>
      <c r="G10" s="3">
        <v>11.1666666666667</v>
      </c>
      <c r="I10">
        <f t="shared" si="2"/>
        <v>7</v>
      </c>
      <c r="J10" s="3">
        <v>6</v>
      </c>
      <c r="K10" s="3">
        <v>12.875</v>
      </c>
      <c r="M10">
        <f t="shared" si="3"/>
        <v>7</v>
      </c>
      <c r="N10" s="3">
        <v>6.875</v>
      </c>
      <c r="O10" s="3">
        <v>14.5833333333333</v>
      </c>
      <c r="Q10">
        <f t="shared" si="4"/>
        <v>7</v>
      </c>
      <c r="R10" s="3">
        <v>8.0833333333333304</v>
      </c>
      <c r="S10" s="3">
        <v>16.875</v>
      </c>
    </row>
    <row r="11" spans="1:19" x14ac:dyDescent="0.2">
      <c r="A11">
        <f t="shared" si="0"/>
        <v>8</v>
      </c>
      <c r="B11" s="3">
        <v>6</v>
      </c>
      <c r="C11" s="3">
        <v>9.3333333333333304</v>
      </c>
      <c r="E11">
        <f t="shared" si="1"/>
        <v>8</v>
      </c>
      <c r="F11" s="3">
        <v>6</v>
      </c>
      <c r="G11" s="3">
        <v>11.3333333333333</v>
      </c>
      <c r="I11">
        <f t="shared" si="2"/>
        <v>8</v>
      </c>
      <c r="J11" s="3">
        <v>6</v>
      </c>
      <c r="K11" s="3">
        <v>13</v>
      </c>
      <c r="M11">
        <f t="shared" si="3"/>
        <v>8</v>
      </c>
      <c r="N11" s="3">
        <v>7</v>
      </c>
      <c r="O11" s="3">
        <v>14.6666666666667</v>
      </c>
      <c r="Q11">
        <f t="shared" si="4"/>
        <v>8</v>
      </c>
      <c r="R11" s="3">
        <v>8.2666666666666693</v>
      </c>
      <c r="S11" s="3">
        <v>17</v>
      </c>
    </row>
    <row r="12" spans="1:19" x14ac:dyDescent="0.2">
      <c r="A12">
        <f t="shared" si="0"/>
        <v>9</v>
      </c>
      <c r="B12" s="3">
        <v>6</v>
      </c>
      <c r="C12" s="3">
        <v>9.5</v>
      </c>
      <c r="E12">
        <f t="shared" si="1"/>
        <v>9</v>
      </c>
      <c r="F12" s="3">
        <v>6</v>
      </c>
      <c r="G12" s="3">
        <v>11.5</v>
      </c>
      <c r="I12">
        <f t="shared" si="2"/>
        <v>9</v>
      </c>
      <c r="J12" s="3">
        <v>6</v>
      </c>
      <c r="K12" s="3">
        <v>13.125</v>
      </c>
      <c r="M12">
        <f t="shared" si="3"/>
        <v>9</v>
      </c>
      <c r="N12" s="3">
        <v>7.125</v>
      </c>
      <c r="O12" s="3">
        <v>14.75</v>
      </c>
      <c r="Q12">
        <f t="shared" si="4"/>
        <v>9</v>
      </c>
      <c r="R12" s="3">
        <v>8.4499999999999993</v>
      </c>
      <c r="S12" s="3">
        <v>17.125</v>
      </c>
    </row>
    <row r="13" spans="1:19" x14ac:dyDescent="0.2">
      <c r="A13">
        <f t="shared" si="0"/>
        <v>10</v>
      </c>
      <c r="B13" s="3">
        <v>6</v>
      </c>
      <c r="C13" s="3">
        <v>9.6666666666666696</v>
      </c>
      <c r="E13">
        <f t="shared" si="1"/>
        <v>10</v>
      </c>
      <c r="F13" s="3">
        <v>6</v>
      </c>
      <c r="G13" s="3">
        <v>11.6666666666667</v>
      </c>
      <c r="I13">
        <f t="shared" si="2"/>
        <v>10</v>
      </c>
      <c r="J13" s="3">
        <v>6</v>
      </c>
      <c r="K13" s="3">
        <v>13.25</v>
      </c>
      <c r="M13">
        <f t="shared" si="3"/>
        <v>10</v>
      </c>
      <c r="N13" s="3">
        <v>7.25</v>
      </c>
      <c r="O13" s="3">
        <v>14.8333333333333</v>
      </c>
      <c r="Q13">
        <f t="shared" si="4"/>
        <v>10</v>
      </c>
      <c r="R13" s="3">
        <v>8.6333333333333293</v>
      </c>
      <c r="S13" s="3">
        <v>17.25</v>
      </c>
    </row>
    <row r="14" spans="1:19" x14ac:dyDescent="0.2">
      <c r="A14">
        <f t="shared" si="0"/>
        <v>11</v>
      </c>
      <c r="B14" s="3">
        <v>6</v>
      </c>
      <c r="C14" s="3">
        <v>9.8333333333333304</v>
      </c>
      <c r="E14">
        <f t="shared" si="1"/>
        <v>11</v>
      </c>
      <c r="F14" s="3">
        <v>6</v>
      </c>
      <c r="G14" s="3">
        <v>11.8333333333333</v>
      </c>
      <c r="I14">
        <f t="shared" si="2"/>
        <v>11</v>
      </c>
      <c r="J14" s="3">
        <v>6</v>
      </c>
      <c r="K14" s="3">
        <v>13.375</v>
      </c>
      <c r="M14">
        <f t="shared" si="3"/>
        <v>11</v>
      </c>
      <c r="N14" s="3">
        <v>7.375</v>
      </c>
      <c r="O14" s="3">
        <v>14.9166666666667</v>
      </c>
      <c r="Q14">
        <f t="shared" si="4"/>
        <v>11</v>
      </c>
      <c r="R14" s="3">
        <v>8.81666666666667</v>
      </c>
      <c r="S14" s="3">
        <v>17.375</v>
      </c>
    </row>
    <row r="15" spans="1:19" x14ac:dyDescent="0.2">
      <c r="A15">
        <f t="shared" si="0"/>
        <v>12</v>
      </c>
      <c r="B15" s="3">
        <v>6</v>
      </c>
      <c r="C15" s="3">
        <v>10</v>
      </c>
      <c r="E15">
        <f t="shared" si="1"/>
        <v>12</v>
      </c>
      <c r="F15" s="3">
        <v>6</v>
      </c>
      <c r="G15" s="3">
        <v>12</v>
      </c>
      <c r="I15">
        <f t="shared" si="2"/>
        <v>12</v>
      </c>
      <c r="J15" s="3">
        <v>6</v>
      </c>
      <c r="K15" s="3">
        <v>13.5</v>
      </c>
      <c r="M15">
        <f t="shared" si="3"/>
        <v>12</v>
      </c>
      <c r="N15" s="3">
        <v>7.5</v>
      </c>
      <c r="O15" s="3">
        <v>15</v>
      </c>
      <c r="Q15">
        <f t="shared" si="4"/>
        <v>12</v>
      </c>
      <c r="R15" s="3">
        <v>9</v>
      </c>
      <c r="S15" s="3">
        <v>17.5</v>
      </c>
    </row>
    <row r="16" spans="1:19" x14ac:dyDescent="0.2">
      <c r="A16">
        <f t="shared" si="0"/>
        <v>13</v>
      </c>
      <c r="B16" s="3">
        <v>6</v>
      </c>
      <c r="C16" s="3">
        <v>10.0833333333333</v>
      </c>
      <c r="E16">
        <f t="shared" si="1"/>
        <v>13</v>
      </c>
      <c r="F16" s="3">
        <v>6.0833333333333304</v>
      </c>
      <c r="G16" s="3">
        <v>12.0833333333333</v>
      </c>
      <c r="I16">
        <f t="shared" si="2"/>
        <v>13</v>
      </c>
      <c r="J16" s="3">
        <v>6.1666666666666696</v>
      </c>
      <c r="K16" s="3">
        <v>13.625</v>
      </c>
      <c r="M16">
        <f t="shared" si="3"/>
        <v>13</v>
      </c>
      <c r="N16" s="3">
        <v>7.7083333333333304</v>
      </c>
      <c r="O16" s="3">
        <v>15.125</v>
      </c>
      <c r="Q16">
        <f t="shared" si="4"/>
        <v>13</v>
      </c>
      <c r="R16" s="3">
        <v>9.2083333333333304</v>
      </c>
      <c r="S16" s="3">
        <v>17.625</v>
      </c>
    </row>
    <row r="17" spans="1:19" x14ac:dyDescent="0.2">
      <c r="A17">
        <f t="shared" si="0"/>
        <v>14</v>
      </c>
      <c r="B17" s="3">
        <v>6</v>
      </c>
      <c r="C17" s="3">
        <v>10.1666666666667</v>
      </c>
      <c r="E17">
        <f t="shared" si="1"/>
        <v>14</v>
      </c>
      <c r="F17" s="3">
        <v>6.1666666666666696</v>
      </c>
      <c r="G17" s="3">
        <v>12.1666666666667</v>
      </c>
      <c r="I17">
        <f t="shared" si="2"/>
        <v>14</v>
      </c>
      <c r="J17" s="3">
        <v>6.3333333333333304</v>
      </c>
      <c r="K17" s="3">
        <v>13.75</v>
      </c>
      <c r="M17">
        <f t="shared" si="3"/>
        <v>14</v>
      </c>
      <c r="N17" s="3">
        <v>7.9166666666666696</v>
      </c>
      <c r="O17" s="3">
        <v>15.25</v>
      </c>
      <c r="Q17">
        <f t="shared" si="4"/>
        <v>14</v>
      </c>
      <c r="R17" s="3">
        <v>9.4166666666666696</v>
      </c>
      <c r="S17" s="3">
        <v>17.75</v>
      </c>
    </row>
    <row r="18" spans="1:19" x14ac:dyDescent="0.2">
      <c r="A18">
        <f t="shared" si="0"/>
        <v>15</v>
      </c>
      <c r="B18" s="3">
        <v>6</v>
      </c>
      <c r="C18" s="3">
        <v>10.25</v>
      </c>
      <c r="E18">
        <f t="shared" si="1"/>
        <v>15</v>
      </c>
      <c r="F18" s="3">
        <v>6.25</v>
      </c>
      <c r="G18" s="3">
        <v>12.25</v>
      </c>
      <c r="I18">
        <f t="shared" si="2"/>
        <v>15</v>
      </c>
      <c r="J18" s="3">
        <v>6.5</v>
      </c>
      <c r="K18" s="3">
        <v>13.875</v>
      </c>
      <c r="M18">
        <f t="shared" si="3"/>
        <v>15</v>
      </c>
      <c r="N18" s="3">
        <v>8.125</v>
      </c>
      <c r="O18" s="3">
        <v>15.375</v>
      </c>
      <c r="Q18">
        <f t="shared" si="4"/>
        <v>15</v>
      </c>
      <c r="R18" s="3">
        <v>9.625</v>
      </c>
      <c r="S18" s="3">
        <v>17.875</v>
      </c>
    </row>
    <row r="19" spans="1:19" x14ac:dyDescent="0.2">
      <c r="A19">
        <f t="shared" si="0"/>
        <v>16</v>
      </c>
      <c r="B19" s="3">
        <v>6</v>
      </c>
      <c r="C19" s="3">
        <v>10.3333333333333</v>
      </c>
      <c r="E19">
        <f t="shared" si="1"/>
        <v>16</v>
      </c>
      <c r="F19" s="3">
        <v>6.3333333333333304</v>
      </c>
      <c r="G19" s="3">
        <v>12.3333333333333</v>
      </c>
      <c r="I19">
        <f t="shared" si="2"/>
        <v>16</v>
      </c>
      <c r="J19" s="3">
        <v>6.6666666666666696</v>
      </c>
      <c r="K19" s="3">
        <v>14</v>
      </c>
      <c r="M19">
        <f t="shared" si="3"/>
        <v>16</v>
      </c>
      <c r="N19" s="3">
        <v>8.3333333333333304</v>
      </c>
      <c r="O19" s="3">
        <v>15.5</v>
      </c>
      <c r="Q19">
        <f t="shared" si="4"/>
        <v>16</v>
      </c>
      <c r="R19" s="3">
        <v>9.8333333333333304</v>
      </c>
      <c r="S19" s="3">
        <v>18</v>
      </c>
    </row>
    <row r="20" spans="1:19" x14ac:dyDescent="0.2">
      <c r="A20">
        <f t="shared" si="0"/>
        <v>17</v>
      </c>
      <c r="B20" s="3">
        <v>6</v>
      </c>
      <c r="C20" s="3">
        <v>10.4166666666667</v>
      </c>
      <c r="E20">
        <f t="shared" si="1"/>
        <v>17</v>
      </c>
      <c r="F20" s="3">
        <v>6.4166666666666696</v>
      </c>
      <c r="G20" s="3">
        <v>12.4166666666667</v>
      </c>
      <c r="I20">
        <f t="shared" si="2"/>
        <v>17</v>
      </c>
      <c r="J20" s="3">
        <v>6.8333333333333304</v>
      </c>
      <c r="K20" s="3">
        <v>14.125</v>
      </c>
      <c r="M20">
        <f t="shared" si="3"/>
        <v>17</v>
      </c>
      <c r="N20" s="3">
        <v>8.5416666666666696</v>
      </c>
      <c r="O20" s="3">
        <v>15.625</v>
      </c>
      <c r="Q20">
        <f t="shared" si="4"/>
        <v>17</v>
      </c>
      <c r="R20" s="3">
        <v>10.0416666666667</v>
      </c>
      <c r="S20" s="3">
        <v>18.125</v>
      </c>
    </row>
    <row r="21" spans="1:19" x14ac:dyDescent="0.2">
      <c r="A21">
        <f t="shared" si="0"/>
        <v>18</v>
      </c>
      <c r="B21" s="3">
        <v>6</v>
      </c>
      <c r="C21" s="3">
        <v>10.5</v>
      </c>
      <c r="E21">
        <f t="shared" si="1"/>
        <v>18</v>
      </c>
      <c r="F21" s="3">
        <v>6.5</v>
      </c>
      <c r="G21" s="3">
        <v>12.5</v>
      </c>
      <c r="I21">
        <f t="shared" si="2"/>
        <v>18</v>
      </c>
      <c r="J21" s="3">
        <v>7</v>
      </c>
      <c r="K21" s="3">
        <v>14.25</v>
      </c>
      <c r="M21">
        <f t="shared" si="3"/>
        <v>18</v>
      </c>
      <c r="N21" s="3">
        <v>8.75</v>
      </c>
      <c r="O21" s="3">
        <v>15.75</v>
      </c>
      <c r="Q21">
        <f t="shared" si="4"/>
        <v>18</v>
      </c>
      <c r="R21" s="3">
        <v>10.25</v>
      </c>
      <c r="S21" s="3">
        <v>18.25</v>
      </c>
    </row>
    <row r="22" spans="1:19" x14ac:dyDescent="0.2">
      <c r="A22">
        <f t="shared" si="0"/>
        <v>19</v>
      </c>
      <c r="B22" s="3">
        <v>6</v>
      </c>
      <c r="C22" s="3">
        <v>10.5833333333333</v>
      </c>
      <c r="E22">
        <f t="shared" si="1"/>
        <v>19</v>
      </c>
      <c r="F22" s="3">
        <v>6.5833333333333304</v>
      </c>
      <c r="G22" s="3">
        <v>12.5833333333333</v>
      </c>
      <c r="I22">
        <f t="shared" si="2"/>
        <v>19</v>
      </c>
      <c r="J22" s="3">
        <v>7.1666666666666696</v>
      </c>
      <c r="K22" s="3">
        <v>14.375</v>
      </c>
      <c r="M22">
        <f t="shared" si="3"/>
        <v>19</v>
      </c>
      <c r="N22" s="3">
        <v>8.9583333333333304</v>
      </c>
      <c r="O22" s="3">
        <v>15.875</v>
      </c>
      <c r="Q22">
        <f t="shared" si="4"/>
        <v>19</v>
      </c>
      <c r="R22" s="3">
        <v>10.4583333333333</v>
      </c>
      <c r="S22" s="3">
        <v>18.375</v>
      </c>
    </row>
    <row r="23" spans="1:19" x14ac:dyDescent="0.2">
      <c r="A23">
        <f t="shared" si="0"/>
        <v>20</v>
      </c>
      <c r="B23" s="3">
        <v>6</v>
      </c>
      <c r="C23" s="3">
        <v>10.6666666666667</v>
      </c>
      <c r="E23">
        <f t="shared" si="1"/>
        <v>20</v>
      </c>
      <c r="F23" s="3">
        <v>6.6666666666666696</v>
      </c>
      <c r="G23" s="3">
        <v>12.6666666666667</v>
      </c>
      <c r="I23">
        <f t="shared" si="2"/>
        <v>20</v>
      </c>
      <c r="J23" s="3">
        <v>7.3333333333333304</v>
      </c>
      <c r="K23" s="3">
        <v>14.5</v>
      </c>
      <c r="M23">
        <f t="shared" si="3"/>
        <v>20</v>
      </c>
      <c r="N23" s="3">
        <v>9.1666666666666696</v>
      </c>
      <c r="O23" s="3">
        <v>16</v>
      </c>
      <c r="Q23">
        <f t="shared" si="4"/>
        <v>20</v>
      </c>
      <c r="R23" s="3">
        <v>10.6666666666667</v>
      </c>
      <c r="S23" s="3">
        <v>18.5</v>
      </c>
    </row>
    <row r="24" spans="1:19" x14ac:dyDescent="0.2">
      <c r="A24">
        <f t="shared" si="0"/>
        <v>21</v>
      </c>
      <c r="B24" s="3">
        <v>6</v>
      </c>
      <c r="C24" s="3">
        <v>10.75</v>
      </c>
      <c r="E24">
        <f t="shared" si="1"/>
        <v>21</v>
      </c>
      <c r="F24" s="3">
        <v>6.75</v>
      </c>
      <c r="G24" s="3">
        <v>12.75</v>
      </c>
      <c r="I24">
        <f t="shared" si="2"/>
        <v>21</v>
      </c>
      <c r="J24" s="3">
        <v>7.5</v>
      </c>
      <c r="K24" s="3">
        <v>14.625</v>
      </c>
      <c r="M24">
        <f t="shared" si="3"/>
        <v>21</v>
      </c>
      <c r="N24" s="3">
        <v>9.375</v>
      </c>
      <c r="O24" s="3">
        <v>16.125</v>
      </c>
      <c r="Q24">
        <f t="shared" si="4"/>
        <v>21</v>
      </c>
      <c r="R24" s="3">
        <v>10.875</v>
      </c>
      <c r="S24" s="3">
        <v>18.625</v>
      </c>
    </row>
    <row r="25" spans="1:19" x14ac:dyDescent="0.2">
      <c r="A25">
        <f t="shared" si="0"/>
        <v>22</v>
      </c>
      <c r="B25" s="3">
        <v>6</v>
      </c>
      <c r="C25" s="3">
        <v>10.8333333333333</v>
      </c>
      <c r="E25">
        <f t="shared" si="1"/>
        <v>22</v>
      </c>
      <c r="F25" s="3">
        <v>6.8333333333333304</v>
      </c>
      <c r="G25" s="3">
        <v>12.8333333333333</v>
      </c>
      <c r="I25">
        <f t="shared" si="2"/>
        <v>22</v>
      </c>
      <c r="J25" s="3">
        <v>7.6666666666666696</v>
      </c>
      <c r="K25" s="3">
        <v>14.75</v>
      </c>
      <c r="M25">
        <f t="shared" si="3"/>
        <v>22</v>
      </c>
      <c r="N25" s="3">
        <v>9.5833333333333304</v>
      </c>
      <c r="O25" s="3">
        <v>16.25</v>
      </c>
      <c r="Q25">
        <f t="shared" si="4"/>
        <v>22</v>
      </c>
      <c r="R25" s="3">
        <v>11.0833333333333</v>
      </c>
      <c r="S25" s="3">
        <v>18.75</v>
      </c>
    </row>
    <row r="26" spans="1:19" x14ac:dyDescent="0.2">
      <c r="A26">
        <f t="shared" si="0"/>
        <v>23</v>
      </c>
      <c r="B26" s="3">
        <v>6</v>
      </c>
      <c r="C26" s="3">
        <v>10.9166666666667</v>
      </c>
      <c r="E26">
        <f t="shared" si="1"/>
        <v>23</v>
      </c>
      <c r="F26" s="3">
        <v>6.9166666666666696</v>
      </c>
      <c r="G26" s="3">
        <v>12.9166666666667</v>
      </c>
      <c r="I26">
        <f t="shared" si="2"/>
        <v>23</v>
      </c>
      <c r="J26" s="3">
        <v>7.8333333333333304</v>
      </c>
      <c r="K26" s="3">
        <v>14.875</v>
      </c>
      <c r="M26">
        <f t="shared" si="3"/>
        <v>23</v>
      </c>
      <c r="N26" s="3">
        <v>9.7916666666666696</v>
      </c>
      <c r="O26" s="3">
        <v>16.375</v>
      </c>
      <c r="Q26">
        <f t="shared" si="4"/>
        <v>23</v>
      </c>
      <c r="R26" s="3">
        <v>11.2916666666667</v>
      </c>
      <c r="S26" s="3">
        <v>18.875</v>
      </c>
    </row>
    <row r="27" spans="1:19" x14ac:dyDescent="0.2">
      <c r="A27">
        <f t="shared" si="0"/>
        <v>24</v>
      </c>
      <c r="B27" s="3">
        <v>6</v>
      </c>
      <c r="C27" s="3">
        <v>11</v>
      </c>
      <c r="E27">
        <f t="shared" si="1"/>
        <v>24</v>
      </c>
      <c r="F27" s="3">
        <v>7</v>
      </c>
      <c r="G27" s="3">
        <v>13</v>
      </c>
      <c r="I27">
        <f t="shared" si="2"/>
        <v>24</v>
      </c>
      <c r="J27" s="3">
        <v>8</v>
      </c>
      <c r="K27" s="3">
        <v>15</v>
      </c>
      <c r="M27">
        <f t="shared" si="3"/>
        <v>24</v>
      </c>
      <c r="N27" s="3">
        <v>10</v>
      </c>
      <c r="O27" s="3">
        <v>16.5</v>
      </c>
      <c r="Q27">
        <f t="shared" si="4"/>
        <v>24</v>
      </c>
      <c r="R27" s="3">
        <v>11.5</v>
      </c>
      <c r="S27" s="3">
        <v>19</v>
      </c>
    </row>
    <row r="28" spans="1:19" x14ac:dyDescent="0.2">
      <c r="A28">
        <f t="shared" si="0"/>
        <v>25</v>
      </c>
      <c r="B28" s="3">
        <v>6</v>
      </c>
      <c r="C28" s="3">
        <v>11.0833333333333</v>
      </c>
      <c r="E28">
        <f t="shared" si="1"/>
        <v>25</v>
      </c>
      <c r="F28" s="3">
        <v>7.0833333333333304</v>
      </c>
      <c r="G28" s="3">
        <v>13.0833333333333</v>
      </c>
      <c r="I28">
        <f t="shared" si="2"/>
        <v>25</v>
      </c>
      <c r="J28" s="3">
        <v>8.125</v>
      </c>
      <c r="K28" s="3">
        <v>15.0833333333333</v>
      </c>
      <c r="M28">
        <f t="shared" si="3"/>
        <v>25</v>
      </c>
      <c r="N28" s="3">
        <v>10.125</v>
      </c>
      <c r="O28" s="3">
        <v>16.625</v>
      </c>
      <c r="Q28">
        <f t="shared" si="4"/>
        <v>25</v>
      </c>
      <c r="R28" s="3">
        <v>11.6666666666667</v>
      </c>
      <c r="S28" s="3">
        <v>19.1666666666667</v>
      </c>
    </row>
    <row r="29" spans="1:19" x14ac:dyDescent="0.2">
      <c r="A29">
        <f t="shared" si="0"/>
        <v>26</v>
      </c>
      <c r="B29" s="3">
        <v>6</v>
      </c>
      <c r="C29" s="3">
        <v>11.1666666666667</v>
      </c>
      <c r="E29">
        <f t="shared" si="1"/>
        <v>26</v>
      </c>
      <c r="F29" s="3">
        <v>7.1666666666666696</v>
      </c>
      <c r="G29" s="3">
        <v>13.1666666666667</v>
      </c>
      <c r="I29">
        <f t="shared" si="2"/>
        <v>26</v>
      </c>
      <c r="J29" s="3">
        <v>8.25</v>
      </c>
      <c r="K29" s="3">
        <v>15.1666666666667</v>
      </c>
      <c r="M29">
        <f t="shared" si="3"/>
        <v>26</v>
      </c>
      <c r="N29" s="3">
        <v>10.25</v>
      </c>
      <c r="O29" s="3">
        <v>16.75</v>
      </c>
      <c r="Q29">
        <f t="shared" si="4"/>
        <v>26</v>
      </c>
      <c r="R29" s="3">
        <v>11.8333333333333</v>
      </c>
      <c r="S29" s="3">
        <v>19.3333333333333</v>
      </c>
    </row>
    <row r="30" spans="1:19" x14ac:dyDescent="0.2">
      <c r="A30">
        <f t="shared" si="0"/>
        <v>27</v>
      </c>
      <c r="B30" s="3">
        <v>6</v>
      </c>
      <c r="C30" s="3">
        <v>11.25</v>
      </c>
      <c r="E30">
        <f t="shared" si="1"/>
        <v>27</v>
      </c>
      <c r="F30" s="3">
        <v>7.25</v>
      </c>
      <c r="G30" s="3">
        <v>13.25</v>
      </c>
      <c r="I30">
        <f t="shared" si="2"/>
        <v>27</v>
      </c>
      <c r="J30" s="3">
        <v>8.375</v>
      </c>
      <c r="K30" s="3">
        <v>15.25</v>
      </c>
      <c r="M30">
        <f t="shared" si="3"/>
        <v>27</v>
      </c>
      <c r="N30" s="3">
        <v>10.375</v>
      </c>
      <c r="O30" s="3">
        <v>16.875</v>
      </c>
      <c r="Q30">
        <f t="shared" si="4"/>
        <v>27</v>
      </c>
      <c r="R30" s="3">
        <v>12</v>
      </c>
      <c r="S30" s="3">
        <v>19.5</v>
      </c>
    </row>
    <row r="31" spans="1:19" x14ac:dyDescent="0.2">
      <c r="A31">
        <f t="shared" si="0"/>
        <v>28</v>
      </c>
      <c r="B31" s="3">
        <v>6</v>
      </c>
      <c r="C31" s="3">
        <v>11.3333333333333</v>
      </c>
      <c r="E31">
        <f t="shared" si="1"/>
        <v>28</v>
      </c>
      <c r="F31" s="3">
        <v>7.3333333333333304</v>
      </c>
      <c r="G31" s="3">
        <v>13.3333333333333</v>
      </c>
      <c r="I31">
        <f t="shared" si="2"/>
        <v>28</v>
      </c>
      <c r="J31" s="3">
        <v>8.5</v>
      </c>
      <c r="K31" s="3">
        <v>15.3333333333333</v>
      </c>
      <c r="M31">
        <f t="shared" si="3"/>
        <v>28</v>
      </c>
      <c r="N31" s="3">
        <v>10.5</v>
      </c>
      <c r="O31" s="3">
        <v>17</v>
      </c>
      <c r="Q31">
        <f t="shared" si="4"/>
        <v>28</v>
      </c>
      <c r="R31" s="3">
        <v>12.1666666666667</v>
      </c>
      <c r="S31" s="3">
        <v>19.6666666666667</v>
      </c>
    </row>
    <row r="32" spans="1:19" x14ac:dyDescent="0.2">
      <c r="A32">
        <f t="shared" si="0"/>
        <v>29</v>
      </c>
      <c r="B32" s="3">
        <v>6</v>
      </c>
      <c r="C32" s="3">
        <v>11.4166666666667</v>
      </c>
      <c r="E32">
        <f t="shared" si="1"/>
        <v>29</v>
      </c>
      <c r="F32" s="3">
        <v>7.4166666666666696</v>
      </c>
      <c r="G32" s="3">
        <v>13.4166666666667</v>
      </c>
      <c r="I32">
        <f t="shared" si="2"/>
        <v>29</v>
      </c>
      <c r="J32" s="3">
        <v>8.625</v>
      </c>
      <c r="K32" s="3">
        <v>15.4166666666667</v>
      </c>
      <c r="M32">
        <f t="shared" si="3"/>
        <v>29</v>
      </c>
      <c r="N32" s="3">
        <v>10.625</v>
      </c>
      <c r="O32" s="3">
        <v>17.125</v>
      </c>
      <c r="Q32">
        <f t="shared" si="4"/>
        <v>29</v>
      </c>
      <c r="R32" s="3">
        <v>12.3333333333333</v>
      </c>
      <c r="S32" s="3">
        <v>19.8333333333333</v>
      </c>
    </row>
    <row r="33" spans="1:19" x14ac:dyDescent="0.2">
      <c r="A33">
        <f t="shared" si="0"/>
        <v>30</v>
      </c>
      <c r="B33" s="3">
        <v>6</v>
      </c>
      <c r="C33" s="3">
        <v>11.5</v>
      </c>
      <c r="E33">
        <f t="shared" si="1"/>
        <v>30</v>
      </c>
      <c r="F33" s="3">
        <v>7.5</v>
      </c>
      <c r="G33" s="3">
        <v>13.5</v>
      </c>
      <c r="I33">
        <f t="shared" si="2"/>
        <v>30</v>
      </c>
      <c r="J33" s="3">
        <v>8.75</v>
      </c>
      <c r="K33" s="3">
        <v>15.5</v>
      </c>
      <c r="M33">
        <f t="shared" si="3"/>
        <v>30</v>
      </c>
      <c r="N33" s="3">
        <v>10.75</v>
      </c>
      <c r="O33" s="3">
        <v>17.25</v>
      </c>
      <c r="Q33">
        <f t="shared" si="4"/>
        <v>30</v>
      </c>
      <c r="R33" s="3">
        <v>12.5</v>
      </c>
      <c r="S33" s="3">
        <v>20</v>
      </c>
    </row>
    <row r="34" spans="1:19" x14ac:dyDescent="0.2">
      <c r="A34">
        <f t="shared" si="0"/>
        <v>31</v>
      </c>
      <c r="B34" s="3">
        <v>6</v>
      </c>
      <c r="C34" s="3">
        <v>11.5833333333333</v>
      </c>
      <c r="E34">
        <f t="shared" si="1"/>
        <v>31</v>
      </c>
      <c r="F34" s="3">
        <v>7.5833333333333304</v>
      </c>
      <c r="G34" s="3">
        <v>13.5833333333333</v>
      </c>
      <c r="I34">
        <f t="shared" si="2"/>
        <v>31</v>
      </c>
      <c r="J34" s="3">
        <v>8.875</v>
      </c>
      <c r="K34" s="3">
        <v>15.5833333333333</v>
      </c>
      <c r="M34">
        <f t="shared" si="3"/>
        <v>31</v>
      </c>
      <c r="N34" s="3">
        <v>10.875</v>
      </c>
      <c r="O34" s="3">
        <v>17.375</v>
      </c>
      <c r="Q34">
        <f t="shared" si="4"/>
        <v>31</v>
      </c>
      <c r="R34" s="3">
        <v>12.6666666666667</v>
      </c>
      <c r="S34" s="3">
        <v>20.1666666666667</v>
      </c>
    </row>
    <row r="35" spans="1:19" x14ac:dyDescent="0.2">
      <c r="A35">
        <f t="shared" si="0"/>
        <v>32</v>
      </c>
      <c r="B35" s="3">
        <v>6</v>
      </c>
      <c r="C35" s="3">
        <v>11.6666666666667</v>
      </c>
      <c r="E35">
        <f t="shared" si="1"/>
        <v>32</v>
      </c>
      <c r="F35" s="3">
        <v>7.6666666666666696</v>
      </c>
      <c r="G35" s="3">
        <v>13.6666666666667</v>
      </c>
      <c r="I35">
        <f t="shared" si="2"/>
        <v>32</v>
      </c>
      <c r="J35" s="3">
        <v>9</v>
      </c>
      <c r="K35" s="3">
        <v>15.6666666666667</v>
      </c>
      <c r="M35">
        <f t="shared" si="3"/>
        <v>32</v>
      </c>
      <c r="N35" s="3">
        <v>11</v>
      </c>
      <c r="O35" s="3">
        <v>17.5</v>
      </c>
      <c r="Q35">
        <f t="shared" si="4"/>
        <v>32</v>
      </c>
      <c r="R35" s="3">
        <v>12.8333333333333</v>
      </c>
      <c r="S35" s="3">
        <v>20.3333333333333</v>
      </c>
    </row>
    <row r="36" spans="1:19" x14ac:dyDescent="0.2">
      <c r="A36">
        <f t="shared" si="0"/>
        <v>33</v>
      </c>
      <c r="B36" s="3">
        <v>6</v>
      </c>
      <c r="C36" s="3">
        <v>11.75</v>
      </c>
      <c r="E36">
        <f t="shared" si="1"/>
        <v>33</v>
      </c>
      <c r="F36" s="3">
        <v>7.75</v>
      </c>
      <c r="G36" s="3">
        <v>13.75</v>
      </c>
      <c r="I36">
        <f t="shared" si="2"/>
        <v>33</v>
      </c>
      <c r="J36" s="3">
        <v>9.125</v>
      </c>
      <c r="K36" s="3">
        <v>15.75</v>
      </c>
      <c r="M36">
        <f t="shared" si="3"/>
        <v>33</v>
      </c>
      <c r="N36" s="3">
        <v>11.125</v>
      </c>
      <c r="O36" s="3">
        <v>17.625</v>
      </c>
      <c r="Q36">
        <f t="shared" si="4"/>
        <v>33</v>
      </c>
      <c r="R36" s="3">
        <v>13</v>
      </c>
      <c r="S36" s="3">
        <v>20.5</v>
      </c>
    </row>
    <row r="37" spans="1:19" x14ac:dyDescent="0.2">
      <c r="A37">
        <f t="shared" si="0"/>
        <v>34</v>
      </c>
      <c r="B37" s="3">
        <v>6</v>
      </c>
      <c r="C37" s="3">
        <v>11.8333333333333</v>
      </c>
      <c r="E37">
        <f t="shared" si="1"/>
        <v>34</v>
      </c>
      <c r="F37" s="3">
        <v>7.8333333333333304</v>
      </c>
      <c r="G37" s="3">
        <v>13.8333333333333</v>
      </c>
      <c r="I37">
        <f t="shared" si="2"/>
        <v>34</v>
      </c>
      <c r="J37" s="3">
        <v>9.25</v>
      </c>
      <c r="K37" s="3">
        <v>15.8333333333333</v>
      </c>
      <c r="M37">
        <f t="shared" si="3"/>
        <v>34</v>
      </c>
      <c r="N37" s="3">
        <v>11.25</v>
      </c>
      <c r="O37" s="3">
        <v>17.75</v>
      </c>
      <c r="Q37">
        <f t="shared" si="4"/>
        <v>34</v>
      </c>
      <c r="R37" s="3">
        <v>13.1666666666667</v>
      </c>
      <c r="S37" s="3">
        <v>20.6666666666667</v>
      </c>
    </row>
    <row r="38" spans="1:19" x14ac:dyDescent="0.2">
      <c r="A38">
        <f t="shared" si="0"/>
        <v>35</v>
      </c>
      <c r="B38" s="3">
        <v>6</v>
      </c>
      <c r="C38" s="3">
        <v>11.9166666666667</v>
      </c>
      <c r="E38">
        <f t="shared" si="1"/>
        <v>35</v>
      </c>
      <c r="F38" s="3">
        <v>7.9166666666666696</v>
      </c>
      <c r="G38" s="3">
        <v>13.9166666666667</v>
      </c>
      <c r="I38">
        <f t="shared" si="2"/>
        <v>35</v>
      </c>
      <c r="J38" s="3">
        <v>9.375</v>
      </c>
      <c r="K38" s="3">
        <v>15.9166666666667</v>
      </c>
      <c r="M38">
        <f t="shared" si="3"/>
        <v>35</v>
      </c>
      <c r="N38" s="3">
        <v>11.375</v>
      </c>
      <c r="O38" s="3">
        <v>17.875</v>
      </c>
      <c r="Q38">
        <f t="shared" si="4"/>
        <v>35</v>
      </c>
      <c r="R38" s="3">
        <v>13.3333333333333</v>
      </c>
      <c r="S38" s="3">
        <v>20.8333333333333</v>
      </c>
    </row>
    <row r="39" spans="1:19" x14ac:dyDescent="0.2">
      <c r="A39">
        <f t="shared" si="0"/>
        <v>36</v>
      </c>
      <c r="B39" s="3">
        <v>6</v>
      </c>
      <c r="C39" s="3">
        <v>12</v>
      </c>
      <c r="E39">
        <f t="shared" si="1"/>
        <v>36</v>
      </c>
      <c r="F39" s="3">
        <v>8</v>
      </c>
      <c r="G39" s="3">
        <v>14</v>
      </c>
      <c r="I39">
        <f t="shared" si="2"/>
        <v>36</v>
      </c>
      <c r="J39" s="3">
        <v>9.5</v>
      </c>
      <c r="K39" s="3">
        <v>16</v>
      </c>
      <c r="M39">
        <f t="shared" si="3"/>
        <v>36</v>
      </c>
      <c r="N39" s="3">
        <v>11.5</v>
      </c>
      <c r="O39" s="3">
        <v>18</v>
      </c>
      <c r="Q39">
        <f t="shared" si="4"/>
        <v>36</v>
      </c>
      <c r="R39" s="3">
        <v>13.5</v>
      </c>
      <c r="S39" s="3">
        <v>21</v>
      </c>
    </row>
    <row r="40" spans="1:19" x14ac:dyDescent="0.2">
      <c r="A40">
        <f t="shared" si="0"/>
        <v>37</v>
      </c>
      <c r="B40" s="3">
        <v>6</v>
      </c>
      <c r="C40" s="3">
        <v>12.0833333333333</v>
      </c>
      <c r="E40">
        <f t="shared" si="1"/>
        <v>37</v>
      </c>
      <c r="F40" s="3">
        <v>8</v>
      </c>
      <c r="G40" s="3">
        <v>14.0833333333333</v>
      </c>
      <c r="I40">
        <f t="shared" si="2"/>
        <v>37</v>
      </c>
      <c r="J40" s="3">
        <v>9.625</v>
      </c>
      <c r="K40" s="3">
        <v>16.0833333333333</v>
      </c>
      <c r="M40">
        <f t="shared" si="3"/>
        <v>37</v>
      </c>
      <c r="N40" s="3">
        <v>11.625</v>
      </c>
      <c r="O40" s="3">
        <v>18.0833333333333</v>
      </c>
      <c r="Q40">
        <f t="shared" si="4"/>
        <v>37</v>
      </c>
      <c r="R40" s="3">
        <v>13.625</v>
      </c>
      <c r="S40" s="3">
        <v>21.0833333333333</v>
      </c>
    </row>
    <row r="41" spans="1:19" x14ac:dyDescent="0.2">
      <c r="A41">
        <f t="shared" si="0"/>
        <v>38</v>
      </c>
      <c r="B41" s="3">
        <v>6</v>
      </c>
      <c r="C41" s="3">
        <v>12.1666666666667</v>
      </c>
      <c r="E41">
        <f t="shared" si="1"/>
        <v>38</v>
      </c>
      <c r="F41" s="3">
        <v>8</v>
      </c>
      <c r="G41" s="3">
        <v>14.1666666666667</v>
      </c>
      <c r="I41">
        <f t="shared" si="2"/>
        <v>38</v>
      </c>
      <c r="J41" s="3">
        <v>9.75</v>
      </c>
      <c r="K41" s="3">
        <v>16.1666666666667</v>
      </c>
      <c r="M41">
        <f t="shared" si="3"/>
        <v>38</v>
      </c>
      <c r="N41" s="3">
        <v>11.75</v>
      </c>
      <c r="O41" s="3">
        <v>18.1666666666667</v>
      </c>
      <c r="Q41">
        <f t="shared" si="4"/>
        <v>38</v>
      </c>
      <c r="R41" s="3">
        <v>13.75</v>
      </c>
      <c r="S41" s="3">
        <v>21.1666666666667</v>
      </c>
    </row>
    <row r="42" spans="1:19" x14ac:dyDescent="0.2">
      <c r="A42">
        <f t="shared" si="0"/>
        <v>39</v>
      </c>
      <c r="B42" s="3">
        <v>6</v>
      </c>
      <c r="C42" s="3">
        <v>12.25</v>
      </c>
      <c r="E42">
        <f t="shared" si="1"/>
        <v>39</v>
      </c>
      <c r="F42" s="3">
        <v>8</v>
      </c>
      <c r="G42" s="3">
        <v>14.25</v>
      </c>
      <c r="I42">
        <f t="shared" si="2"/>
        <v>39</v>
      </c>
      <c r="J42" s="3">
        <v>9.875</v>
      </c>
      <c r="K42" s="3">
        <v>16.25</v>
      </c>
      <c r="M42">
        <f t="shared" si="3"/>
        <v>39</v>
      </c>
      <c r="N42" s="3">
        <v>11.875</v>
      </c>
      <c r="O42" s="3">
        <v>18.25</v>
      </c>
      <c r="Q42">
        <f t="shared" si="4"/>
        <v>39</v>
      </c>
      <c r="R42" s="3">
        <v>13.875</v>
      </c>
      <c r="S42" s="3">
        <v>21.25</v>
      </c>
    </row>
    <row r="43" spans="1:19" x14ac:dyDescent="0.2">
      <c r="A43">
        <f t="shared" si="0"/>
        <v>40</v>
      </c>
      <c r="B43" s="3">
        <v>6</v>
      </c>
      <c r="C43" s="3">
        <v>12.3333333333333</v>
      </c>
      <c r="E43">
        <f t="shared" si="1"/>
        <v>40</v>
      </c>
      <c r="F43" s="3">
        <v>8</v>
      </c>
      <c r="G43" s="3">
        <v>14.3333333333333</v>
      </c>
      <c r="I43">
        <f t="shared" si="2"/>
        <v>40</v>
      </c>
      <c r="J43" s="3">
        <v>10</v>
      </c>
      <c r="K43" s="3">
        <v>16.3333333333333</v>
      </c>
      <c r="M43">
        <f t="shared" si="3"/>
        <v>40</v>
      </c>
      <c r="N43" s="3">
        <v>12</v>
      </c>
      <c r="O43" s="3">
        <v>18.3333333333333</v>
      </c>
      <c r="Q43">
        <f t="shared" si="4"/>
        <v>40</v>
      </c>
      <c r="R43" s="3">
        <v>14</v>
      </c>
      <c r="S43" s="3">
        <v>21.3333333333333</v>
      </c>
    </row>
    <row r="44" spans="1:19" x14ac:dyDescent="0.2">
      <c r="A44">
        <f t="shared" si="0"/>
        <v>41</v>
      </c>
      <c r="B44" s="3">
        <v>6</v>
      </c>
      <c r="C44" s="3">
        <v>12.4166666666667</v>
      </c>
      <c r="E44">
        <f t="shared" si="1"/>
        <v>41</v>
      </c>
      <c r="F44" s="3">
        <v>8</v>
      </c>
      <c r="G44" s="3">
        <v>14.4166666666667</v>
      </c>
      <c r="I44">
        <f t="shared" si="2"/>
        <v>41</v>
      </c>
      <c r="J44" s="3">
        <v>10.125</v>
      </c>
      <c r="K44" s="3">
        <v>16.4166666666667</v>
      </c>
      <c r="M44">
        <f t="shared" si="3"/>
        <v>41</v>
      </c>
      <c r="N44" s="3">
        <v>12.125</v>
      </c>
      <c r="O44" s="3">
        <v>18.4166666666667</v>
      </c>
      <c r="Q44">
        <f t="shared" si="4"/>
        <v>41</v>
      </c>
      <c r="R44" s="3">
        <v>14.125</v>
      </c>
      <c r="S44" s="3">
        <v>21.4166666666667</v>
      </c>
    </row>
    <row r="45" spans="1:19" x14ac:dyDescent="0.2">
      <c r="A45">
        <f t="shared" si="0"/>
        <v>42</v>
      </c>
      <c r="B45" s="3">
        <v>6</v>
      </c>
      <c r="C45" s="3">
        <v>12.5</v>
      </c>
      <c r="E45">
        <f t="shared" si="1"/>
        <v>42</v>
      </c>
      <c r="F45" s="3">
        <v>8</v>
      </c>
      <c r="G45" s="3">
        <v>14.5</v>
      </c>
      <c r="I45">
        <f t="shared" si="2"/>
        <v>42</v>
      </c>
      <c r="J45" s="3">
        <v>10.25</v>
      </c>
      <c r="K45" s="3">
        <v>16.5</v>
      </c>
      <c r="M45">
        <f t="shared" si="3"/>
        <v>42</v>
      </c>
      <c r="N45" s="3">
        <v>12.25</v>
      </c>
      <c r="O45" s="3">
        <v>18.5</v>
      </c>
      <c r="Q45">
        <f t="shared" si="4"/>
        <v>42</v>
      </c>
      <c r="R45" s="3">
        <v>14.25</v>
      </c>
      <c r="S45" s="3">
        <v>21.5</v>
      </c>
    </row>
    <row r="46" spans="1:19" x14ac:dyDescent="0.2">
      <c r="A46">
        <f t="shared" si="0"/>
        <v>43</v>
      </c>
      <c r="B46" s="3">
        <v>6</v>
      </c>
      <c r="C46" s="3">
        <v>12.5833333333333</v>
      </c>
      <c r="E46">
        <f t="shared" si="1"/>
        <v>43</v>
      </c>
      <c r="F46" s="3">
        <v>8</v>
      </c>
      <c r="G46" s="3">
        <v>14.5833333333333</v>
      </c>
      <c r="I46">
        <f t="shared" si="2"/>
        <v>43</v>
      </c>
      <c r="J46" s="3">
        <v>10.375</v>
      </c>
      <c r="K46" s="3">
        <v>16.5833333333333</v>
      </c>
      <c r="M46">
        <f t="shared" si="3"/>
        <v>43</v>
      </c>
      <c r="N46" s="3">
        <v>12.375</v>
      </c>
      <c r="O46" s="3">
        <v>18.5833333333333</v>
      </c>
      <c r="Q46">
        <f t="shared" si="4"/>
        <v>43</v>
      </c>
      <c r="R46" s="3">
        <v>14.375</v>
      </c>
      <c r="S46" s="3">
        <v>21.5833333333333</v>
      </c>
    </row>
    <row r="47" spans="1:19" x14ac:dyDescent="0.2">
      <c r="A47">
        <f t="shared" si="0"/>
        <v>44</v>
      </c>
      <c r="B47" s="3">
        <v>6</v>
      </c>
      <c r="C47" s="3">
        <v>12.6666666666667</v>
      </c>
      <c r="E47">
        <f t="shared" si="1"/>
        <v>44</v>
      </c>
      <c r="F47" s="3">
        <v>8</v>
      </c>
      <c r="G47" s="3">
        <v>14.6666666666667</v>
      </c>
      <c r="I47">
        <f t="shared" si="2"/>
        <v>44</v>
      </c>
      <c r="J47" s="3">
        <v>10.5</v>
      </c>
      <c r="K47" s="3">
        <v>16.6666666666667</v>
      </c>
      <c r="M47">
        <f t="shared" si="3"/>
        <v>44</v>
      </c>
      <c r="N47" s="3">
        <v>12.5</v>
      </c>
      <c r="O47" s="3">
        <v>18.6666666666667</v>
      </c>
      <c r="Q47">
        <f t="shared" si="4"/>
        <v>44</v>
      </c>
      <c r="R47" s="3">
        <v>14.5</v>
      </c>
      <c r="S47" s="3">
        <v>21.6666666666667</v>
      </c>
    </row>
    <row r="48" spans="1:19" x14ac:dyDescent="0.2">
      <c r="A48">
        <f t="shared" si="0"/>
        <v>45</v>
      </c>
      <c r="B48" s="3">
        <v>6</v>
      </c>
      <c r="C48" s="3">
        <v>12.75</v>
      </c>
      <c r="E48">
        <f t="shared" si="1"/>
        <v>45</v>
      </c>
      <c r="F48" s="3">
        <v>8</v>
      </c>
      <c r="G48" s="3">
        <v>14.75</v>
      </c>
      <c r="I48">
        <f t="shared" si="2"/>
        <v>45</v>
      </c>
      <c r="J48" s="3">
        <v>10.625</v>
      </c>
      <c r="K48" s="3">
        <v>16.75</v>
      </c>
      <c r="M48">
        <f t="shared" si="3"/>
        <v>45</v>
      </c>
      <c r="N48" s="3">
        <v>12.625</v>
      </c>
      <c r="O48" s="3">
        <v>18.75</v>
      </c>
      <c r="Q48">
        <f t="shared" si="4"/>
        <v>45</v>
      </c>
      <c r="R48" s="3">
        <v>14.625</v>
      </c>
      <c r="S48" s="3">
        <v>21.75</v>
      </c>
    </row>
    <row r="49" spans="1:19" x14ac:dyDescent="0.2">
      <c r="A49">
        <f t="shared" si="0"/>
        <v>46</v>
      </c>
      <c r="B49" s="3">
        <v>6</v>
      </c>
      <c r="C49" s="3">
        <v>12.8333333333333</v>
      </c>
      <c r="E49">
        <f t="shared" si="1"/>
        <v>46</v>
      </c>
      <c r="F49" s="3">
        <v>8</v>
      </c>
      <c r="G49" s="3">
        <v>14.8333333333333</v>
      </c>
      <c r="I49">
        <f t="shared" si="2"/>
        <v>46</v>
      </c>
      <c r="J49" s="3">
        <v>10.75</v>
      </c>
      <c r="K49" s="3">
        <v>16.8333333333333</v>
      </c>
      <c r="M49">
        <f t="shared" si="3"/>
        <v>46</v>
      </c>
      <c r="N49" s="3">
        <v>12.75</v>
      </c>
      <c r="O49" s="3">
        <v>18.8333333333333</v>
      </c>
      <c r="Q49">
        <f t="shared" si="4"/>
        <v>46</v>
      </c>
      <c r="R49" s="3">
        <v>14.75</v>
      </c>
      <c r="S49" s="3">
        <v>21.8333333333333</v>
      </c>
    </row>
    <row r="50" spans="1:19" x14ac:dyDescent="0.2">
      <c r="A50">
        <f t="shared" si="0"/>
        <v>47</v>
      </c>
      <c r="B50" s="3">
        <v>6</v>
      </c>
      <c r="C50" s="3">
        <v>12.9166666666667</v>
      </c>
      <c r="E50">
        <f t="shared" si="1"/>
        <v>47</v>
      </c>
      <c r="F50" s="3">
        <v>8</v>
      </c>
      <c r="G50" s="3">
        <v>14.9166666666667</v>
      </c>
      <c r="I50">
        <f t="shared" si="2"/>
        <v>47</v>
      </c>
      <c r="J50" s="3">
        <v>10.875</v>
      </c>
      <c r="K50" s="3">
        <v>16.9166666666667</v>
      </c>
      <c r="M50">
        <f t="shared" si="3"/>
        <v>47</v>
      </c>
      <c r="N50" s="3">
        <v>12.875</v>
      </c>
      <c r="O50" s="3">
        <v>18.9166666666667</v>
      </c>
      <c r="Q50">
        <f t="shared" si="4"/>
        <v>47</v>
      </c>
      <c r="R50" s="3">
        <v>14.875</v>
      </c>
      <c r="S50" s="3">
        <v>21.9166666666667</v>
      </c>
    </row>
    <row r="51" spans="1:19" x14ac:dyDescent="0.2">
      <c r="A51">
        <f t="shared" si="0"/>
        <v>48</v>
      </c>
      <c r="B51" s="3">
        <v>6</v>
      </c>
      <c r="C51" s="3">
        <v>13</v>
      </c>
      <c r="E51">
        <f t="shared" si="1"/>
        <v>48</v>
      </c>
      <c r="F51" s="3">
        <v>8</v>
      </c>
      <c r="G51" s="3">
        <v>15</v>
      </c>
      <c r="I51">
        <f t="shared" si="2"/>
        <v>48</v>
      </c>
      <c r="J51" s="3">
        <v>11</v>
      </c>
      <c r="K51" s="3">
        <v>17</v>
      </c>
      <c r="M51">
        <f t="shared" si="3"/>
        <v>48</v>
      </c>
      <c r="N51" s="3">
        <v>13</v>
      </c>
      <c r="O51" s="3">
        <v>19</v>
      </c>
      <c r="Q51">
        <f t="shared" si="4"/>
        <v>48</v>
      </c>
      <c r="R51" s="3">
        <v>15</v>
      </c>
      <c r="S51" s="3">
        <v>22</v>
      </c>
    </row>
    <row r="52" spans="1:19" x14ac:dyDescent="0.2">
      <c r="A52">
        <f t="shared" si="0"/>
        <v>49</v>
      </c>
      <c r="B52" s="3">
        <v>6.0833333333333304</v>
      </c>
      <c r="C52" s="3">
        <v>13.0833333333333</v>
      </c>
      <c r="E52">
        <f t="shared" si="1"/>
        <v>49</v>
      </c>
      <c r="F52" s="3">
        <v>8.0833333333333304</v>
      </c>
      <c r="G52" s="3">
        <v>15.0833333333333</v>
      </c>
      <c r="I52">
        <f t="shared" si="2"/>
        <v>49</v>
      </c>
      <c r="J52" s="3">
        <v>11.125</v>
      </c>
      <c r="K52" s="3">
        <v>17.0833333333333</v>
      </c>
      <c r="M52">
        <f t="shared" si="3"/>
        <v>49</v>
      </c>
      <c r="N52" s="3">
        <v>13.125</v>
      </c>
      <c r="O52" s="3">
        <v>19.0833333333333</v>
      </c>
      <c r="Q52">
        <f t="shared" si="4"/>
        <v>49</v>
      </c>
      <c r="R52" s="3">
        <v>15.125</v>
      </c>
      <c r="S52" s="3">
        <v>22.0833333333333</v>
      </c>
    </row>
    <row r="53" spans="1:19" x14ac:dyDescent="0.2">
      <c r="A53">
        <f t="shared" si="0"/>
        <v>50</v>
      </c>
      <c r="B53" s="3">
        <v>6.1666666666666696</v>
      </c>
      <c r="C53" s="3">
        <v>13.1666666666667</v>
      </c>
      <c r="E53">
        <f t="shared" si="1"/>
        <v>50</v>
      </c>
      <c r="F53" s="3">
        <v>8.1666666666666696</v>
      </c>
      <c r="G53" s="3">
        <v>15.1666666666667</v>
      </c>
      <c r="I53">
        <f t="shared" si="2"/>
        <v>50</v>
      </c>
      <c r="J53" s="3">
        <v>11.25</v>
      </c>
      <c r="K53" s="3">
        <v>17.1666666666667</v>
      </c>
      <c r="M53">
        <f t="shared" si="3"/>
        <v>50</v>
      </c>
      <c r="N53" s="3">
        <v>13.25</v>
      </c>
      <c r="O53" s="3">
        <v>19.1666666666667</v>
      </c>
      <c r="Q53">
        <f t="shared" si="4"/>
        <v>50</v>
      </c>
      <c r="R53" s="3">
        <v>15.25</v>
      </c>
      <c r="S53" s="3">
        <v>22.1666666666667</v>
      </c>
    </row>
    <row r="54" spans="1:19" x14ac:dyDescent="0.2">
      <c r="A54">
        <f t="shared" si="0"/>
        <v>51</v>
      </c>
      <c r="B54" s="3">
        <v>6.25</v>
      </c>
      <c r="C54" s="3">
        <v>13.25</v>
      </c>
      <c r="E54">
        <f t="shared" si="1"/>
        <v>51</v>
      </c>
      <c r="F54" s="3">
        <v>8.25</v>
      </c>
      <c r="G54" s="3">
        <v>15.25</v>
      </c>
      <c r="I54">
        <f t="shared" si="2"/>
        <v>51</v>
      </c>
      <c r="J54" s="3">
        <v>11.375</v>
      </c>
      <c r="K54" s="3">
        <v>17.25</v>
      </c>
      <c r="M54">
        <f t="shared" si="3"/>
        <v>51</v>
      </c>
      <c r="N54" s="3">
        <v>13.375</v>
      </c>
      <c r="O54" s="3">
        <v>19.25</v>
      </c>
      <c r="Q54">
        <f t="shared" si="4"/>
        <v>51</v>
      </c>
      <c r="R54" s="3">
        <v>15.375</v>
      </c>
      <c r="S54" s="3">
        <v>22.25</v>
      </c>
    </row>
    <row r="55" spans="1:19" x14ac:dyDescent="0.2">
      <c r="A55">
        <f t="shared" si="0"/>
        <v>52</v>
      </c>
      <c r="B55" s="3">
        <v>6.3333333333333304</v>
      </c>
      <c r="C55" s="3">
        <v>13.3333333333333</v>
      </c>
      <c r="E55">
        <f t="shared" si="1"/>
        <v>52</v>
      </c>
      <c r="F55" s="3">
        <v>8.3333333333333304</v>
      </c>
      <c r="G55" s="3">
        <v>15.3333333333333</v>
      </c>
      <c r="I55">
        <f t="shared" si="2"/>
        <v>52</v>
      </c>
      <c r="J55" s="3">
        <v>11.5</v>
      </c>
      <c r="K55" s="3">
        <v>17.3333333333333</v>
      </c>
      <c r="M55">
        <f t="shared" si="3"/>
        <v>52</v>
      </c>
      <c r="N55" s="3">
        <v>13.5</v>
      </c>
      <c r="O55" s="3">
        <v>19.3333333333333</v>
      </c>
      <c r="Q55">
        <f t="shared" si="4"/>
        <v>52</v>
      </c>
      <c r="R55" s="3">
        <v>15.5</v>
      </c>
      <c r="S55" s="3">
        <v>22.3333333333333</v>
      </c>
    </row>
    <row r="56" spans="1:19" x14ac:dyDescent="0.2">
      <c r="A56">
        <f t="shared" si="0"/>
        <v>53</v>
      </c>
      <c r="B56" s="3">
        <v>6.4166666666666696</v>
      </c>
      <c r="C56" s="3">
        <v>13.4166666666667</v>
      </c>
      <c r="E56">
        <f t="shared" si="1"/>
        <v>53</v>
      </c>
      <c r="F56" s="3">
        <v>8.4166666666666696</v>
      </c>
      <c r="G56" s="3">
        <v>15.4166666666667</v>
      </c>
      <c r="I56">
        <f t="shared" si="2"/>
        <v>53</v>
      </c>
      <c r="J56" s="3">
        <v>11.625</v>
      </c>
      <c r="K56" s="3">
        <v>17.4166666666667</v>
      </c>
      <c r="M56">
        <f t="shared" si="3"/>
        <v>53</v>
      </c>
      <c r="N56" s="3">
        <v>13.625</v>
      </c>
      <c r="O56" s="3">
        <v>19.4166666666667</v>
      </c>
      <c r="Q56">
        <f t="shared" si="4"/>
        <v>53</v>
      </c>
      <c r="R56" s="3">
        <v>15.625</v>
      </c>
      <c r="S56" s="3">
        <v>22.4166666666667</v>
      </c>
    </row>
    <row r="57" spans="1:19" x14ac:dyDescent="0.2">
      <c r="A57">
        <f t="shared" si="0"/>
        <v>54</v>
      </c>
      <c r="B57" s="3">
        <v>6.5</v>
      </c>
      <c r="C57" s="3">
        <v>13.5</v>
      </c>
      <c r="E57">
        <f t="shared" si="1"/>
        <v>54</v>
      </c>
      <c r="F57" s="3">
        <v>8.5</v>
      </c>
      <c r="G57" s="3">
        <v>15.5</v>
      </c>
      <c r="I57">
        <f t="shared" si="2"/>
        <v>54</v>
      </c>
      <c r="J57" s="3">
        <v>11.75</v>
      </c>
      <c r="K57" s="3">
        <v>17.5</v>
      </c>
      <c r="M57">
        <f t="shared" si="3"/>
        <v>54</v>
      </c>
      <c r="N57" s="3">
        <v>13.75</v>
      </c>
      <c r="O57" s="3">
        <v>19.5</v>
      </c>
      <c r="Q57">
        <f t="shared" si="4"/>
        <v>54</v>
      </c>
      <c r="R57" s="3">
        <v>15.75</v>
      </c>
      <c r="S57" s="3">
        <v>22.5</v>
      </c>
    </row>
    <row r="58" spans="1:19" x14ac:dyDescent="0.2">
      <c r="A58">
        <f t="shared" si="0"/>
        <v>55</v>
      </c>
      <c r="B58" s="3">
        <v>6.5833333333333304</v>
      </c>
      <c r="C58" s="3">
        <v>13.5833333333333</v>
      </c>
      <c r="E58">
        <f t="shared" si="1"/>
        <v>55</v>
      </c>
      <c r="F58" s="3">
        <v>8.5833333333333304</v>
      </c>
      <c r="G58" s="3">
        <v>15.5833333333333</v>
      </c>
      <c r="I58">
        <f t="shared" si="2"/>
        <v>55</v>
      </c>
      <c r="J58" s="3">
        <v>11.875</v>
      </c>
      <c r="K58" s="3">
        <v>17.5833333333333</v>
      </c>
      <c r="M58">
        <f t="shared" si="3"/>
        <v>55</v>
      </c>
      <c r="N58" s="3">
        <v>13.875</v>
      </c>
      <c r="O58" s="3">
        <v>19.5833333333333</v>
      </c>
      <c r="Q58">
        <f t="shared" si="4"/>
        <v>55</v>
      </c>
      <c r="R58" s="3">
        <v>15.875</v>
      </c>
      <c r="S58" s="3">
        <v>22.5833333333333</v>
      </c>
    </row>
    <row r="59" spans="1:19" x14ac:dyDescent="0.2">
      <c r="A59">
        <f t="shared" si="0"/>
        <v>56</v>
      </c>
      <c r="B59" s="3">
        <v>6.6666666666666696</v>
      </c>
      <c r="C59" s="3">
        <v>13.6666666666667</v>
      </c>
      <c r="E59">
        <f t="shared" si="1"/>
        <v>56</v>
      </c>
      <c r="F59" s="3">
        <v>8.6666666666666696</v>
      </c>
      <c r="G59" s="3">
        <v>15.6666666666667</v>
      </c>
      <c r="I59">
        <f t="shared" si="2"/>
        <v>56</v>
      </c>
      <c r="J59" s="3">
        <v>12</v>
      </c>
      <c r="K59" s="3">
        <v>17.6666666666667</v>
      </c>
      <c r="M59">
        <f t="shared" si="3"/>
        <v>56</v>
      </c>
      <c r="N59" s="3">
        <v>14</v>
      </c>
      <c r="O59" s="3">
        <v>19.6666666666667</v>
      </c>
      <c r="Q59">
        <f t="shared" si="4"/>
        <v>56</v>
      </c>
      <c r="R59" s="3">
        <v>16</v>
      </c>
      <c r="S59" s="3">
        <v>22.6666666666667</v>
      </c>
    </row>
    <row r="60" spans="1:19" x14ac:dyDescent="0.2">
      <c r="A60">
        <f t="shared" si="0"/>
        <v>57</v>
      </c>
      <c r="B60" s="3">
        <v>6.75</v>
      </c>
      <c r="C60" s="3">
        <v>13.75</v>
      </c>
      <c r="E60">
        <f t="shared" si="1"/>
        <v>57</v>
      </c>
      <c r="F60" s="3">
        <v>8.75</v>
      </c>
      <c r="G60" s="3">
        <v>15.75</v>
      </c>
      <c r="I60">
        <f t="shared" si="2"/>
        <v>57</v>
      </c>
      <c r="J60" s="3">
        <v>12.125</v>
      </c>
      <c r="K60" s="3">
        <v>17.75</v>
      </c>
      <c r="M60">
        <f t="shared" si="3"/>
        <v>57</v>
      </c>
      <c r="N60" s="3">
        <v>14.125</v>
      </c>
      <c r="O60" s="3">
        <v>19.75</v>
      </c>
      <c r="Q60">
        <f t="shared" si="4"/>
        <v>57</v>
      </c>
      <c r="R60" s="3">
        <v>16.125</v>
      </c>
      <c r="S60" s="3">
        <v>22.75</v>
      </c>
    </row>
    <row r="61" spans="1:19" x14ac:dyDescent="0.2">
      <c r="A61">
        <f t="shared" si="0"/>
        <v>58</v>
      </c>
      <c r="B61" s="3">
        <v>6.8333333333333304</v>
      </c>
      <c r="C61" s="3">
        <v>13.8333333333333</v>
      </c>
      <c r="E61">
        <f t="shared" si="1"/>
        <v>58</v>
      </c>
      <c r="F61" s="3">
        <v>8.8333333333333304</v>
      </c>
      <c r="G61" s="3">
        <v>15.8333333333333</v>
      </c>
      <c r="I61">
        <f t="shared" si="2"/>
        <v>58</v>
      </c>
      <c r="J61" s="3">
        <v>12.25</v>
      </c>
      <c r="K61" s="3">
        <v>17.8333333333333</v>
      </c>
      <c r="M61">
        <f t="shared" si="3"/>
        <v>58</v>
      </c>
      <c r="N61" s="3">
        <v>14.25</v>
      </c>
      <c r="O61" s="3">
        <v>19.8333333333333</v>
      </c>
      <c r="Q61">
        <f t="shared" si="4"/>
        <v>58</v>
      </c>
      <c r="R61" s="3">
        <v>16.25</v>
      </c>
      <c r="S61" s="3">
        <v>22.8333333333333</v>
      </c>
    </row>
    <row r="62" spans="1:19" x14ac:dyDescent="0.2">
      <c r="A62">
        <f t="shared" si="0"/>
        <v>59</v>
      </c>
      <c r="B62" s="3">
        <v>6.9166666666666696</v>
      </c>
      <c r="C62" s="3">
        <v>13.9166666666667</v>
      </c>
      <c r="E62">
        <f t="shared" si="1"/>
        <v>59</v>
      </c>
      <c r="F62" s="3">
        <v>8.9166666666666696</v>
      </c>
      <c r="G62" s="3">
        <v>15.9166666666667</v>
      </c>
      <c r="I62">
        <f t="shared" si="2"/>
        <v>59</v>
      </c>
      <c r="J62" s="3">
        <v>12.375</v>
      </c>
      <c r="K62" s="3">
        <v>17.9166666666667</v>
      </c>
      <c r="M62">
        <f t="shared" si="3"/>
        <v>59</v>
      </c>
      <c r="N62" s="3">
        <v>14.375</v>
      </c>
      <c r="O62" s="3">
        <v>19.9166666666667</v>
      </c>
      <c r="Q62">
        <f t="shared" si="4"/>
        <v>59</v>
      </c>
      <c r="R62" s="3">
        <v>16.375</v>
      </c>
      <c r="S62" s="3">
        <v>22.9166666666667</v>
      </c>
    </row>
    <row r="63" spans="1:19" x14ac:dyDescent="0.2">
      <c r="A63">
        <f t="shared" si="0"/>
        <v>60</v>
      </c>
      <c r="B63" s="3">
        <v>7</v>
      </c>
      <c r="C63" s="3">
        <v>14</v>
      </c>
      <c r="E63">
        <f t="shared" si="1"/>
        <v>60</v>
      </c>
      <c r="F63" s="3">
        <v>9</v>
      </c>
      <c r="G63" s="3">
        <v>16</v>
      </c>
      <c r="I63">
        <f t="shared" si="2"/>
        <v>60</v>
      </c>
      <c r="J63" s="3">
        <v>12.5</v>
      </c>
      <c r="K63" s="3">
        <v>18</v>
      </c>
      <c r="M63">
        <f t="shared" si="3"/>
        <v>60</v>
      </c>
      <c r="N63" s="3">
        <v>14.5</v>
      </c>
      <c r="O63" s="3">
        <v>20</v>
      </c>
      <c r="Q63">
        <f t="shared" si="4"/>
        <v>60</v>
      </c>
      <c r="R63" s="3">
        <v>16.5</v>
      </c>
      <c r="S63" s="3">
        <v>23</v>
      </c>
    </row>
    <row r="64" spans="1:19" x14ac:dyDescent="0.2">
      <c r="A64">
        <f t="shared" si="0"/>
        <v>61</v>
      </c>
      <c r="B64" s="3">
        <v>7.0833333333333304</v>
      </c>
      <c r="C64" s="3">
        <v>14</v>
      </c>
      <c r="E64">
        <f t="shared" si="1"/>
        <v>61</v>
      </c>
      <c r="F64" s="3">
        <v>9.0833333333333304</v>
      </c>
      <c r="G64" s="3">
        <v>16</v>
      </c>
      <c r="I64">
        <f t="shared" si="2"/>
        <v>61</v>
      </c>
      <c r="J64" s="3">
        <v>12.5833333333333</v>
      </c>
      <c r="K64" s="3">
        <v>18.0416666666667</v>
      </c>
      <c r="M64">
        <f t="shared" si="3"/>
        <v>61</v>
      </c>
      <c r="N64" s="3">
        <v>14.5833333333333</v>
      </c>
      <c r="O64" s="3">
        <v>20.1666666666667</v>
      </c>
      <c r="Q64">
        <f t="shared" si="4"/>
        <v>61</v>
      </c>
      <c r="R64" s="3">
        <v>16.5833333333333</v>
      </c>
      <c r="S64" s="3">
        <v>23.1666666666667</v>
      </c>
    </row>
    <row r="65" spans="1:19" x14ac:dyDescent="0.2">
      <c r="A65">
        <f t="shared" si="0"/>
        <v>62</v>
      </c>
      <c r="B65" s="3">
        <v>7.1666666666666696</v>
      </c>
      <c r="C65" s="3">
        <v>14</v>
      </c>
      <c r="E65">
        <f t="shared" si="1"/>
        <v>62</v>
      </c>
      <c r="F65" s="3">
        <v>9.1666666666666696</v>
      </c>
      <c r="G65" s="3">
        <v>16</v>
      </c>
      <c r="I65">
        <f t="shared" si="2"/>
        <v>62</v>
      </c>
      <c r="J65" s="3">
        <v>12.6666666666667</v>
      </c>
      <c r="K65" s="3">
        <v>18.0833333333333</v>
      </c>
      <c r="M65">
        <f t="shared" si="3"/>
        <v>62</v>
      </c>
      <c r="N65" s="3">
        <v>14.6666666666667</v>
      </c>
      <c r="O65" s="3">
        <v>20.3333333333333</v>
      </c>
      <c r="Q65">
        <f t="shared" si="4"/>
        <v>62</v>
      </c>
      <c r="R65" s="3">
        <v>16.6666666666667</v>
      </c>
      <c r="S65" s="3">
        <v>23.3333333333333</v>
      </c>
    </row>
    <row r="66" spans="1:19" x14ac:dyDescent="0.2">
      <c r="A66">
        <f t="shared" si="0"/>
        <v>63</v>
      </c>
      <c r="B66" s="3">
        <v>7.25</v>
      </c>
      <c r="C66" s="3">
        <v>14</v>
      </c>
      <c r="E66">
        <f t="shared" si="1"/>
        <v>63</v>
      </c>
      <c r="F66" s="3">
        <v>9.25</v>
      </c>
      <c r="G66" s="3">
        <v>16</v>
      </c>
      <c r="I66">
        <f t="shared" si="2"/>
        <v>63</v>
      </c>
      <c r="J66" s="3">
        <v>12.75</v>
      </c>
      <c r="K66" s="3">
        <v>18.125</v>
      </c>
      <c r="M66">
        <f t="shared" si="3"/>
        <v>63</v>
      </c>
      <c r="N66" s="3">
        <v>14.75</v>
      </c>
      <c r="O66" s="3">
        <v>20.5</v>
      </c>
      <c r="Q66">
        <f t="shared" si="4"/>
        <v>63</v>
      </c>
      <c r="R66" s="3">
        <v>16.75</v>
      </c>
      <c r="S66" s="3">
        <v>23.5</v>
      </c>
    </row>
    <row r="67" spans="1:19" x14ac:dyDescent="0.2">
      <c r="A67">
        <f t="shared" si="0"/>
        <v>64</v>
      </c>
      <c r="B67" s="3">
        <v>7.3333333333333304</v>
      </c>
      <c r="C67" s="3">
        <v>14</v>
      </c>
      <c r="E67">
        <f t="shared" si="1"/>
        <v>64</v>
      </c>
      <c r="F67" s="3">
        <v>9.3333333333333304</v>
      </c>
      <c r="G67" s="3">
        <v>16</v>
      </c>
      <c r="I67">
        <f t="shared" si="2"/>
        <v>64</v>
      </c>
      <c r="J67" s="3">
        <v>12.8333333333333</v>
      </c>
      <c r="K67" s="3">
        <v>18.1666666666667</v>
      </c>
      <c r="M67">
        <f t="shared" si="3"/>
        <v>64</v>
      </c>
      <c r="N67" s="3">
        <v>14.8333333333333</v>
      </c>
      <c r="O67" s="3">
        <v>20.6666666666667</v>
      </c>
      <c r="Q67">
        <f t="shared" si="4"/>
        <v>64</v>
      </c>
      <c r="R67" s="3">
        <v>16.8333333333333</v>
      </c>
      <c r="S67" s="3">
        <v>23.6666666666667</v>
      </c>
    </row>
    <row r="68" spans="1:19" x14ac:dyDescent="0.2">
      <c r="A68">
        <f t="shared" si="0"/>
        <v>65</v>
      </c>
      <c r="B68" s="3">
        <v>7.4166666666666696</v>
      </c>
      <c r="C68" s="3">
        <v>14</v>
      </c>
      <c r="E68">
        <f t="shared" si="1"/>
        <v>65</v>
      </c>
      <c r="F68" s="3">
        <v>9.4166666666666696</v>
      </c>
      <c r="G68" s="3">
        <v>16</v>
      </c>
      <c r="I68">
        <f t="shared" si="2"/>
        <v>65</v>
      </c>
      <c r="J68" s="3">
        <v>12.9166666666667</v>
      </c>
      <c r="K68" s="3">
        <v>18.2083333333333</v>
      </c>
      <c r="M68">
        <f t="shared" si="3"/>
        <v>65</v>
      </c>
      <c r="N68" s="3">
        <v>14.9166666666667</v>
      </c>
      <c r="O68" s="3">
        <v>20.8333333333333</v>
      </c>
      <c r="Q68">
        <f t="shared" si="4"/>
        <v>65</v>
      </c>
      <c r="R68" s="3">
        <v>16.9166666666667</v>
      </c>
      <c r="S68" s="3">
        <v>23.8333333333333</v>
      </c>
    </row>
    <row r="69" spans="1:19" x14ac:dyDescent="0.2">
      <c r="A69">
        <f t="shared" si="0"/>
        <v>66</v>
      </c>
      <c r="B69" s="3">
        <v>7.5</v>
      </c>
      <c r="C69" s="3">
        <v>14</v>
      </c>
      <c r="E69">
        <f t="shared" si="1"/>
        <v>66</v>
      </c>
      <c r="F69" s="3">
        <v>9.5</v>
      </c>
      <c r="G69" s="3">
        <v>16</v>
      </c>
      <c r="I69">
        <f t="shared" si="2"/>
        <v>66</v>
      </c>
      <c r="J69" s="3">
        <v>13</v>
      </c>
      <c r="K69" s="3">
        <v>18.25</v>
      </c>
      <c r="M69">
        <f t="shared" si="3"/>
        <v>66</v>
      </c>
      <c r="N69" s="3">
        <v>15</v>
      </c>
      <c r="O69" s="3">
        <v>21</v>
      </c>
      <c r="Q69">
        <f t="shared" si="4"/>
        <v>66</v>
      </c>
      <c r="R69" s="3">
        <v>17</v>
      </c>
      <c r="S69" s="3">
        <v>24</v>
      </c>
    </row>
    <row r="70" spans="1:19" x14ac:dyDescent="0.2">
      <c r="A70">
        <f t="shared" ref="A70:A123" si="5">A69+1</f>
        <v>67</v>
      </c>
      <c r="B70" s="3">
        <v>7.5833333333333304</v>
      </c>
      <c r="C70" s="3">
        <v>14</v>
      </c>
      <c r="E70">
        <f t="shared" ref="E70:E123" si="6">E69+1</f>
        <v>67</v>
      </c>
      <c r="F70" s="3">
        <v>9.5833333333333304</v>
      </c>
      <c r="G70" s="3">
        <v>16</v>
      </c>
      <c r="I70">
        <f t="shared" ref="I70:I123" si="7">I69+1</f>
        <v>67</v>
      </c>
      <c r="J70" s="3">
        <v>13.0833333333333</v>
      </c>
      <c r="K70" s="3">
        <v>18.2916666666667</v>
      </c>
      <c r="M70">
        <f t="shared" ref="M70:M123" si="8">M69+1</f>
        <v>67</v>
      </c>
      <c r="N70" s="3">
        <v>15.0833333333333</v>
      </c>
      <c r="O70" s="3">
        <v>21.1666666666667</v>
      </c>
      <c r="Q70">
        <f t="shared" ref="Q70:Q123" si="9">Q69+1</f>
        <v>67</v>
      </c>
      <c r="R70" s="3">
        <v>17.0833333333333</v>
      </c>
      <c r="S70" s="3">
        <v>24.1666666666667</v>
      </c>
    </row>
    <row r="71" spans="1:19" x14ac:dyDescent="0.2">
      <c r="A71">
        <f t="shared" si="5"/>
        <v>68</v>
      </c>
      <c r="B71" s="3">
        <v>7.6666666666666696</v>
      </c>
      <c r="C71" s="3">
        <v>14</v>
      </c>
      <c r="E71">
        <f t="shared" si="6"/>
        <v>68</v>
      </c>
      <c r="F71" s="3">
        <v>9.6666666666666696</v>
      </c>
      <c r="G71" s="3">
        <v>16</v>
      </c>
      <c r="I71">
        <f t="shared" si="7"/>
        <v>68</v>
      </c>
      <c r="J71" s="3">
        <v>13.1666666666667</v>
      </c>
      <c r="K71" s="3">
        <v>18.3333333333333</v>
      </c>
      <c r="M71">
        <f t="shared" si="8"/>
        <v>68</v>
      </c>
      <c r="N71" s="3">
        <v>15.1666666666667</v>
      </c>
      <c r="O71" s="3">
        <v>21.3333333333333</v>
      </c>
      <c r="Q71">
        <f t="shared" si="9"/>
        <v>68</v>
      </c>
      <c r="R71" s="3">
        <v>17.1666666666667</v>
      </c>
      <c r="S71" s="3">
        <v>24.3333333333333</v>
      </c>
    </row>
    <row r="72" spans="1:19" x14ac:dyDescent="0.2">
      <c r="A72">
        <f t="shared" si="5"/>
        <v>69</v>
      </c>
      <c r="B72" s="3">
        <v>7.75</v>
      </c>
      <c r="C72" s="3">
        <v>14</v>
      </c>
      <c r="E72">
        <f t="shared" si="6"/>
        <v>69</v>
      </c>
      <c r="F72" s="3">
        <v>9.75</v>
      </c>
      <c r="G72" s="3">
        <v>16</v>
      </c>
      <c r="I72">
        <f t="shared" si="7"/>
        <v>69</v>
      </c>
      <c r="J72" s="3">
        <v>13.25</v>
      </c>
      <c r="K72" s="3">
        <v>18.375</v>
      </c>
      <c r="M72">
        <f t="shared" si="8"/>
        <v>69</v>
      </c>
      <c r="N72" s="3">
        <v>15.25</v>
      </c>
      <c r="O72" s="3">
        <v>21.5</v>
      </c>
      <c r="Q72">
        <f t="shared" si="9"/>
        <v>69</v>
      </c>
      <c r="R72" s="3">
        <v>17.25</v>
      </c>
      <c r="S72" s="3">
        <v>24.5</v>
      </c>
    </row>
    <row r="73" spans="1:19" x14ac:dyDescent="0.2">
      <c r="A73">
        <f t="shared" si="5"/>
        <v>70</v>
      </c>
      <c r="B73" s="3">
        <v>7.8333333333333304</v>
      </c>
      <c r="C73" s="3">
        <v>14</v>
      </c>
      <c r="E73">
        <f t="shared" si="6"/>
        <v>70</v>
      </c>
      <c r="F73" s="3">
        <v>9.8333333333333304</v>
      </c>
      <c r="G73" s="3">
        <v>16</v>
      </c>
      <c r="I73">
        <f t="shared" si="7"/>
        <v>70</v>
      </c>
      <c r="J73" s="3">
        <v>13.3333333333333</v>
      </c>
      <c r="K73" s="3">
        <v>18.4166666666667</v>
      </c>
      <c r="M73">
        <f t="shared" si="8"/>
        <v>70</v>
      </c>
      <c r="N73" s="3">
        <v>15.3333333333333</v>
      </c>
      <c r="O73" s="3">
        <v>21.6666666666667</v>
      </c>
      <c r="Q73">
        <f t="shared" si="9"/>
        <v>70</v>
      </c>
      <c r="R73" s="3">
        <v>17.3333333333333</v>
      </c>
      <c r="S73" s="3">
        <v>24.6666666666667</v>
      </c>
    </row>
    <row r="74" spans="1:19" x14ac:dyDescent="0.2">
      <c r="A74">
        <f t="shared" si="5"/>
        <v>71</v>
      </c>
      <c r="B74" s="3">
        <v>7.9166666666666696</v>
      </c>
      <c r="C74" s="3">
        <v>14</v>
      </c>
      <c r="E74">
        <f t="shared" si="6"/>
        <v>71</v>
      </c>
      <c r="F74" s="3">
        <v>9.9166666666666696</v>
      </c>
      <c r="G74" s="3">
        <v>16</v>
      </c>
      <c r="I74">
        <f t="shared" si="7"/>
        <v>71</v>
      </c>
      <c r="J74" s="3">
        <v>13.4166666666667</v>
      </c>
      <c r="K74" s="3">
        <v>18.4583333333333</v>
      </c>
      <c r="M74">
        <f t="shared" si="8"/>
        <v>71</v>
      </c>
      <c r="N74" s="3">
        <v>15.4166666666667</v>
      </c>
      <c r="O74" s="3">
        <v>21.8333333333333</v>
      </c>
      <c r="Q74">
        <f t="shared" si="9"/>
        <v>71</v>
      </c>
      <c r="R74" s="3">
        <v>17.4166666666667</v>
      </c>
      <c r="S74" s="3">
        <v>24.8333333333333</v>
      </c>
    </row>
    <row r="75" spans="1:19" x14ac:dyDescent="0.2">
      <c r="A75">
        <f t="shared" si="5"/>
        <v>72</v>
      </c>
      <c r="B75" s="3">
        <v>8</v>
      </c>
      <c r="C75" s="3">
        <v>14</v>
      </c>
      <c r="E75">
        <f t="shared" si="6"/>
        <v>72</v>
      </c>
      <c r="F75" s="3">
        <v>10</v>
      </c>
      <c r="G75" s="3">
        <v>16</v>
      </c>
      <c r="I75">
        <f t="shared" si="7"/>
        <v>72</v>
      </c>
      <c r="J75" s="3">
        <v>13.5</v>
      </c>
      <c r="K75" s="3">
        <v>18.5</v>
      </c>
      <c r="M75">
        <f t="shared" si="8"/>
        <v>72</v>
      </c>
      <c r="N75" s="3">
        <v>15.5</v>
      </c>
      <c r="O75" s="3">
        <v>22</v>
      </c>
      <c r="Q75">
        <f t="shared" si="9"/>
        <v>72</v>
      </c>
      <c r="R75" s="3">
        <v>17.5</v>
      </c>
      <c r="S75" s="3">
        <v>25</v>
      </c>
    </row>
    <row r="76" spans="1:19" x14ac:dyDescent="0.2">
      <c r="A76">
        <f t="shared" si="5"/>
        <v>73</v>
      </c>
      <c r="B76" s="3">
        <v>8</v>
      </c>
      <c r="C76" s="3">
        <v>14</v>
      </c>
      <c r="E76">
        <f t="shared" si="6"/>
        <v>73</v>
      </c>
      <c r="F76" s="3">
        <v>10.0833333333333</v>
      </c>
      <c r="G76" s="3">
        <v>16</v>
      </c>
      <c r="I76">
        <f t="shared" si="7"/>
        <v>73</v>
      </c>
      <c r="J76" s="3">
        <v>13.5416666666667</v>
      </c>
      <c r="K76" s="3">
        <v>18.5</v>
      </c>
      <c r="M76">
        <f t="shared" si="8"/>
        <v>73</v>
      </c>
      <c r="N76" s="3">
        <v>15.5833333333333</v>
      </c>
      <c r="O76" s="3">
        <v>22.0416666666667</v>
      </c>
      <c r="Q76">
        <f t="shared" si="9"/>
        <v>73</v>
      </c>
      <c r="R76" s="3">
        <v>17.608333333333299</v>
      </c>
      <c r="S76" s="3">
        <v>25</v>
      </c>
    </row>
    <row r="77" spans="1:19" x14ac:dyDescent="0.2">
      <c r="A77">
        <f t="shared" si="5"/>
        <v>74</v>
      </c>
      <c r="B77" s="3">
        <v>8</v>
      </c>
      <c r="C77" s="3">
        <v>14</v>
      </c>
      <c r="E77">
        <f t="shared" si="6"/>
        <v>74</v>
      </c>
      <c r="F77" s="3">
        <v>10.1666666666667</v>
      </c>
      <c r="G77" s="3">
        <v>16</v>
      </c>
      <c r="I77">
        <f t="shared" si="7"/>
        <v>74</v>
      </c>
      <c r="J77" s="3">
        <v>13.5833333333333</v>
      </c>
      <c r="K77" s="3">
        <v>18.5</v>
      </c>
      <c r="M77">
        <f t="shared" si="8"/>
        <v>74</v>
      </c>
      <c r="N77" s="3">
        <v>15.6666666666667</v>
      </c>
      <c r="O77" s="3">
        <v>22.0833333333333</v>
      </c>
      <c r="Q77">
        <f t="shared" si="9"/>
        <v>74</v>
      </c>
      <c r="R77" s="3">
        <v>17.716666666666701</v>
      </c>
      <c r="S77" s="3">
        <v>25</v>
      </c>
    </row>
    <row r="78" spans="1:19" x14ac:dyDescent="0.2">
      <c r="A78">
        <f t="shared" si="5"/>
        <v>75</v>
      </c>
      <c r="B78" s="3">
        <v>8</v>
      </c>
      <c r="C78" s="3">
        <v>14</v>
      </c>
      <c r="E78">
        <f t="shared" si="6"/>
        <v>75</v>
      </c>
      <c r="F78" s="3">
        <v>10.25</v>
      </c>
      <c r="G78" s="3">
        <v>16</v>
      </c>
      <c r="I78">
        <f t="shared" si="7"/>
        <v>75</v>
      </c>
      <c r="J78" s="3">
        <v>13.625</v>
      </c>
      <c r="K78" s="3">
        <v>18.5</v>
      </c>
      <c r="M78">
        <f t="shared" si="8"/>
        <v>75</v>
      </c>
      <c r="N78" s="3">
        <v>15.75</v>
      </c>
      <c r="O78" s="3">
        <v>22.125</v>
      </c>
      <c r="Q78">
        <f t="shared" si="9"/>
        <v>75</v>
      </c>
      <c r="R78" s="3">
        <v>17.824999999999999</v>
      </c>
      <c r="S78" s="3">
        <v>25</v>
      </c>
    </row>
    <row r="79" spans="1:19" x14ac:dyDescent="0.2">
      <c r="A79">
        <f t="shared" si="5"/>
        <v>76</v>
      </c>
      <c r="B79" s="3">
        <v>8</v>
      </c>
      <c r="C79" s="3">
        <v>14</v>
      </c>
      <c r="E79">
        <f t="shared" si="6"/>
        <v>76</v>
      </c>
      <c r="F79" s="3">
        <v>10.3333333333333</v>
      </c>
      <c r="G79" s="3">
        <v>16</v>
      </c>
      <c r="I79">
        <f t="shared" si="7"/>
        <v>76</v>
      </c>
      <c r="J79" s="3">
        <v>13.6666666666667</v>
      </c>
      <c r="K79" s="3">
        <v>18.5</v>
      </c>
      <c r="M79">
        <f t="shared" si="8"/>
        <v>76</v>
      </c>
      <c r="N79" s="3">
        <v>15.8333333333333</v>
      </c>
      <c r="O79" s="3">
        <v>22.1666666666667</v>
      </c>
      <c r="Q79">
        <f t="shared" si="9"/>
        <v>76</v>
      </c>
      <c r="R79" s="3">
        <v>17.933333333333302</v>
      </c>
      <c r="S79" s="3">
        <v>25</v>
      </c>
    </row>
    <row r="80" spans="1:19" x14ac:dyDescent="0.2">
      <c r="A80">
        <f t="shared" si="5"/>
        <v>77</v>
      </c>
      <c r="B80" s="3">
        <v>8</v>
      </c>
      <c r="C80" s="3">
        <v>14</v>
      </c>
      <c r="E80">
        <f t="shared" si="6"/>
        <v>77</v>
      </c>
      <c r="F80" s="3">
        <v>10.4166666666667</v>
      </c>
      <c r="G80" s="3">
        <v>16</v>
      </c>
      <c r="I80">
        <f t="shared" si="7"/>
        <v>77</v>
      </c>
      <c r="J80" s="3">
        <v>13.7083333333333</v>
      </c>
      <c r="K80" s="3">
        <v>18.5</v>
      </c>
      <c r="M80">
        <f t="shared" si="8"/>
        <v>77</v>
      </c>
      <c r="N80" s="3">
        <v>15.9166666666667</v>
      </c>
      <c r="O80" s="3">
        <v>22.2083333333333</v>
      </c>
      <c r="Q80">
        <f t="shared" si="9"/>
        <v>77</v>
      </c>
      <c r="R80" s="3">
        <v>18.0416666666667</v>
      </c>
      <c r="S80" s="3">
        <v>25</v>
      </c>
    </row>
    <row r="81" spans="1:19" x14ac:dyDescent="0.2">
      <c r="A81">
        <f t="shared" si="5"/>
        <v>78</v>
      </c>
      <c r="B81" s="3">
        <v>8</v>
      </c>
      <c r="C81" s="3">
        <v>14</v>
      </c>
      <c r="E81">
        <f t="shared" si="6"/>
        <v>78</v>
      </c>
      <c r="F81" s="3">
        <v>10.5</v>
      </c>
      <c r="G81" s="3">
        <v>16</v>
      </c>
      <c r="I81">
        <f t="shared" si="7"/>
        <v>78</v>
      </c>
      <c r="J81" s="3">
        <v>13.75</v>
      </c>
      <c r="K81" s="3">
        <v>18.5</v>
      </c>
      <c r="M81">
        <f t="shared" si="8"/>
        <v>78</v>
      </c>
      <c r="N81" s="3">
        <v>16</v>
      </c>
      <c r="O81" s="3">
        <v>22.25</v>
      </c>
      <c r="Q81">
        <f t="shared" si="9"/>
        <v>78</v>
      </c>
      <c r="R81" s="3">
        <v>18.149999999999999</v>
      </c>
      <c r="S81" s="3">
        <v>25</v>
      </c>
    </row>
    <row r="82" spans="1:19" x14ac:dyDescent="0.2">
      <c r="A82">
        <f t="shared" si="5"/>
        <v>79</v>
      </c>
      <c r="B82" s="3">
        <v>8</v>
      </c>
      <c r="C82" s="3">
        <v>14</v>
      </c>
      <c r="E82">
        <f t="shared" si="6"/>
        <v>79</v>
      </c>
      <c r="F82" s="3">
        <v>10.5833333333333</v>
      </c>
      <c r="G82" s="3">
        <v>16</v>
      </c>
      <c r="I82">
        <f t="shared" si="7"/>
        <v>79</v>
      </c>
      <c r="J82" s="3">
        <v>13.7916666666667</v>
      </c>
      <c r="K82" s="3">
        <v>18.5</v>
      </c>
      <c r="M82">
        <f t="shared" si="8"/>
        <v>79</v>
      </c>
      <c r="N82" s="3">
        <v>16.0833333333333</v>
      </c>
      <c r="O82" s="3">
        <v>22.2916666666667</v>
      </c>
      <c r="Q82">
        <f t="shared" si="9"/>
        <v>79</v>
      </c>
      <c r="R82" s="3">
        <v>18.258333333333301</v>
      </c>
      <c r="S82" s="3">
        <v>25</v>
      </c>
    </row>
    <row r="83" spans="1:19" x14ac:dyDescent="0.2">
      <c r="A83">
        <f t="shared" si="5"/>
        <v>80</v>
      </c>
      <c r="B83" s="3">
        <v>8</v>
      </c>
      <c r="C83" s="3">
        <v>14</v>
      </c>
      <c r="E83">
        <f t="shared" si="6"/>
        <v>80</v>
      </c>
      <c r="F83" s="3">
        <v>10.6666666666667</v>
      </c>
      <c r="G83" s="3">
        <v>16</v>
      </c>
      <c r="I83">
        <f t="shared" si="7"/>
        <v>80</v>
      </c>
      <c r="J83" s="3">
        <v>13.8333333333333</v>
      </c>
      <c r="K83" s="3">
        <v>18.5</v>
      </c>
      <c r="M83">
        <f t="shared" si="8"/>
        <v>80</v>
      </c>
      <c r="N83" s="3">
        <v>16.1666666666667</v>
      </c>
      <c r="O83" s="3">
        <v>22.3333333333333</v>
      </c>
      <c r="Q83">
        <f t="shared" si="9"/>
        <v>80</v>
      </c>
      <c r="R83" s="3">
        <v>18.366666666666699</v>
      </c>
      <c r="S83" s="3">
        <v>25</v>
      </c>
    </row>
    <row r="84" spans="1:19" x14ac:dyDescent="0.2">
      <c r="A84">
        <f t="shared" si="5"/>
        <v>81</v>
      </c>
      <c r="B84" s="3">
        <v>8</v>
      </c>
      <c r="C84" s="3">
        <v>14</v>
      </c>
      <c r="E84">
        <f t="shared" si="6"/>
        <v>81</v>
      </c>
      <c r="F84" s="3">
        <v>10.75</v>
      </c>
      <c r="G84" s="3">
        <v>16</v>
      </c>
      <c r="I84">
        <f t="shared" si="7"/>
        <v>81</v>
      </c>
      <c r="J84" s="3">
        <v>13.875</v>
      </c>
      <c r="K84" s="3">
        <v>18.5</v>
      </c>
      <c r="M84">
        <f t="shared" si="8"/>
        <v>81</v>
      </c>
      <c r="N84" s="3">
        <v>16.25</v>
      </c>
      <c r="O84" s="3">
        <v>22.375</v>
      </c>
      <c r="Q84">
        <f t="shared" si="9"/>
        <v>81</v>
      </c>
      <c r="R84" s="3">
        <v>18.475000000000001</v>
      </c>
      <c r="S84" s="3">
        <v>25</v>
      </c>
    </row>
    <row r="85" spans="1:19" x14ac:dyDescent="0.2">
      <c r="A85">
        <f t="shared" si="5"/>
        <v>82</v>
      </c>
      <c r="B85" s="3">
        <v>8</v>
      </c>
      <c r="C85" s="3">
        <v>14</v>
      </c>
      <c r="E85">
        <f t="shared" si="6"/>
        <v>82</v>
      </c>
      <c r="F85" s="3">
        <v>10.8333333333333</v>
      </c>
      <c r="G85" s="3">
        <v>16</v>
      </c>
      <c r="I85">
        <f t="shared" si="7"/>
        <v>82</v>
      </c>
      <c r="J85" s="3">
        <v>13.9166666666667</v>
      </c>
      <c r="K85" s="3">
        <v>18.5</v>
      </c>
      <c r="M85">
        <f t="shared" si="8"/>
        <v>82</v>
      </c>
      <c r="N85" s="3">
        <v>16.3333333333333</v>
      </c>
      <c r="O85" s="3">
        <v>22.4166666666667</v>
      </c>
      <c r="Q85">
        <f t="shared" si="9"/>
        <v>82</v>
      </c>
      <c r="R85" s="3">
        <v>18.5833333333333</v>
      </c>
      <c r="S85" s="3">
        <v>25</v>
      </c>
    </row>
    <row r="86" spans="1:19" x14ac:dyDescent="0.2">
      <c r="A86">
        <f t="shared" si="5"/>
        <v>83</v>
      </c>
      <c r="B86" s="3">
        <v>8</v>
      </c>
      <c r="C86" s="3">
        <v>14</v>
      </c>
      <c r="E86">
        <f t="shared" si="6"/>
        <v>83</v>
      </c>
      <c r="F86" s="3">
        <v>10.9166666666667</v>
      </c>
      <c r="G86" s="3">
        <v>16</v>
      </c>
      <c r="I86">
        <f t="shared" si="7"/>
        <v>83</v>
      </c>
      <c r="J86" s="3">
        <v>13.9583333333333</v>
      </c>
      <c r="K86" s="3">
        <v>18.5</v>
      </c>
      <c r="M86">
        <f t="shared" si="8"/>
        <v>83</v>
      </c>
      <c r="N86" s="3">
        <v>16.4166666666667</v>
      </c>
      <c r="O86" s="3">
        <v>22.4583333333333</v>
      </c>
      <c r="Q86">
        <f t="shared" si="9"/>
        <v>83</v>
      </c>
      <c r="R86" s="3">
        <v>18.691666666666698</v>
      </c>
      <c r="S86" s="3">
        <v>25</v>
      </c>
    </row>
    <row r="87" spans="1:19" x14ac:dyDescent="0.2">
      <c r="A87">
        <f t="shared" si="5"/>
        <v>84</v>
      </c>
      <c r="B87" s="3">
        <v>8</v>
      </c>
      <c r="C87" s="3">
        <v>14</v>
      </c>
      <c r="E87">
        <f t="shared" si="6"/>
        <v>84</v>
      </c>
      <c r="F87" s="3">
        <v>11</v>
      </c>
      <c r="G87" s="3">
        <v>16</v>
      </c>
      <c r="I87">
        <f t="shared" si="7"/>
        <v>84</v>
      </c>
      <c r="J87" s="3">
        <v>14</v>
      </c>
      <c r="K87" s="3">
        <v>18.5</v>
      </c>
      <c r="M87">
        <f t="shared" si="8"/>
        <v>84</v>
      </c>
      <c r="N87" s="3">
        <v>16.5</v>
      </c>
      <c r="O87" s="3">
        <v>22.5</v>
      </c>
      <c r="Q87">
        <f t="shared" si="9"/>
        <v>84</v>
      </c>
      <c r="R87" s="3">
        <v>18.8</v>
      </c>
      <c r="S87" s="3">
        <v>25</v>
      </c>
    </row>
    <row r="88" spans="1:19" x14ac:dyDescent="0.2">
      <c r="A88">
        <f t="shared" si="5"/>
        <v>85</v>
      </c>
      <c r="B88" s="3">
        <v>8.1666666666666696</v>
      </c>
      <c r="C88" s="3">
        <v>14</v>
      </c>
      <c r="E88">
        <f t="shared" si="6"/>
        <v>85</v>
      </c>
      <c r="F88" s="3">
        <v>11.0833333333333</v>
      </c>
      <c r="G88" s="3">
        <v>16</v>
      </c>
      <c r="I88">
        <f t="shared" si="7"/>
        <v>85</v>
      </c>
      <c r="J88" s="3">
        <v>14.0416666666667</v>
      </c>
      <c r="K88" s="3">
        <v>18.5416666666667</v>
      </c>
      <c r="M88">
        <f t="shared" si="8"/>
        <v>85</v>
      </c>
      <c r="N88" s="3">
        <v>16.5833333333333</v>
      </c>
      <c r="O88" s="3">
        <v>22.5</v>
      </c>
      <c r="Q88">
        <f t="shared" si="9"/>
        <v>85</v>
      </c>
      <c r="R88" s="3">
        <v>18.899999999999999</v>
      </c>
      <c r="S88" s="3">
        <v>25</v>
      </c>
    </row>
    <row r="89" spans="1:19" x14ac:dyDescent="0.2">
      <c r="A89">
        <f t="shared" si="5"/>
        <v>86</v>
      </c>
      <c r="B89" s="3">
        <v>8.3333333333333304</v>
      </c>
      <c r="C89" s="3">
        <v>14</v>
      </c>
      <c r="E89">
        <f t="shared" si="6"/>
        <v>86</v>
      </c>
      <c r="F89" s="3">
        <v>11.1666666666667</v>
      </c>
      <c r="G89" s="3">
        <v>16</v>
      </c>
      <c r="I89">
        <f t="shared" si="7"/>
        <v>86</v>
      </c>
      <c r="J89" s="3">
        <v>14.0833333333333</v>
      </c>
      <c r="K89" s="3">
        <v>18.5833333333333</v>
      </c>
      <c r="M89">
        <f t="shared" si="8"/>
        <v>86</v>
      </c>
      <c r="N89" s="3">
        <v>16.6666666666667</v>
      </c>
      <c r="O89" s="3">
        <v>22.5</v>
      </c>
      <c r="Q89">
        <f t="shared" si="9"/>
        <v>86</v>
      </c>
      <c r="R89" s="3">
        <v>19</v>
      </c>
      <c r="S89" s="3">
        <v>25</v>
      </c>
    </row>
    <row r="90" spans="1:19" x14ac:dyDescent="0.2">
      <c r="A90">
        <f t="shared" si="5"/>
        <v>87</v>
      </c>
      <c r="B90" s="3">
        <v>8.5</v>
      </c>
      <c r="C90" s="3">
        <v>14</v>
      </c>
      <c r="E90">
        <f t="shared" si="6"/>
        <v>87</v>
      </c>
      <c r="F90" s="3">
        <v>11.25</v>
      </c>
      <c r="G90" s="3">
        <v>16</v>
      </c>
      <c r="I90">
        <f t="shared" si="7"/>
        <v>87</v>
      </c>
      <c r="J90" s="3">
        <v>14.125</v>
      </c>
      <c r="K90" s="3">
        <v>18.625</v>
      </c>
      <c r="M90">
        <f t="shared" si="8"/>
        <v>87</v>
      </c>
      <c r="N90" s="3">
        <v>16.75</v>
      </c>
      <c r="O90" s="3">
        <v>22.5</v>
      </c>
      <c r="Q90">
        <f t="shared" si="9"/>
        <v>87</v>
      </c>
      <c r="R90" s="3">
        <v>19.100000000000001</v>
      </c>
      <c r="S90" s="3">
        <v>25</v>
      </c>
    </row>
    <row r="91" spans="1:19" x14ac:dyDescent="0.2">
      <c r="A91">
        <f t="shared" si="5"/>
        <v>88</v>
      </c>
      <c r="B91" s="3">
        <v>8.6666666666666696</v>
      </c>
      <c r="C91" s="3">
        <v>14</v>
      </c>
      <c r="E91">
        <f t="shared" si="6"/>
        <v>88</v>
      </c>
      <c r="F91" s="3">
        <v>11.3333333333333</v>
      </c>
      <c r="G91" s="3">
        <v>16</v>
      </c>
      <c r="I91">
        <f t="shared" si="7"/>
        <v>88</v>
      </c>
      <c r="J91" s="3">
        <v>14.1666666666667</v>
      </c>
      <c r="K91" s="3">
        <v>18.6666666666667</v>
      </c>
      <c r="M91">
        <f t="shared" si="8"/>
        <v>88</v>
      </c>
      <c r="N91" s="3">
        <v>16.8333333333333</v>
      </c>
      <c r="O91" s="3">
        <v>22.5</v>
      </c>
      <c r="Q91">
        <f t="shared" si="9"/>
        <v>88</v>
      </c>
      <c r="R91" s="3">
        <v>19.2</v>
      </c>
      <c r="S91" s="3">
        <v>25</v>
      </c>
    </row>
    <row r="92" spans="1:19" x14ac:dyDescent="0.2">
      <c r="A92">
        <f t="shared" si="5"/>
        <v>89</v>
      </c>
      <c r="B92" s="3">
        <v>8.8333333333333304</v>
      </c>
      <c r="C92" s="3">
        <v>14</v>
      </c>
      <c r="E92">
        <f t="shared" si="6"/>
        <v>89</v>
      </c>
      <c r="F92" s="3">
        <v>11.4166666666667</v>
      </c>
      <c r="G92" s="3">
        <v>16</v>
      </c>
      <c r="I92">
        <f t="shared" si="7"/>
        <v>89</v>
      </c>
      <c r="J92" s="3">
        <v>14.2083333333333</v>
      </c>
      <c r="K92" s="3">
        <v>18.7083333333333</v>
      </c>
      <c r="M92">
        <f t="shared" si="8"/>
        <v>89</v>
      </c>
      <c r="N92" s="3">
        <v>16.9166666666667</v>
      </c>
      <c r="O92" s="3">
        <v>22.5</v>
      </c>
      <c r="Q92">
        <f t="shared" si="9"/>
        <v>89</v>
      </c>
      <c r="R92" s="3">
        <v>19.3</v>
      </c>
      <c r="S92" s="3">
        <v>25</v>
      </c>
    </row>
    <row r="93" spans="1:19" x14ac:dyDescent="0.2">
      <c r="A93">
        <f t="shared" si="5"/>
        <v>90</v>
      </c>
      <c r="B93" s="3">
        <v>9</v>
      </c>
      <c r="C93" s="3">
        <v>14</v>
      </c>
      <c r="E93">
        <f t="shared" si="6"/>
        <v>90</v>
      </c>
      <c r="F93" s="3">
        <v>11.5</v>
      </c>
      <c r="G93" s="3">
        <v>16</v>
      </c>
      <c r="I93">
        <f t="shared" si="7"/>
        <v>90</v>
      </c>
      <c r="J93" s="3">
        <v>14.25</v>
      </c>
      <c r="K93" s="3">
        <v>18.75</v>
      </c>
      <c r="M93">
        <f t="shared" si="8"/>
        <v>90</v>
      </c>
      <c r="N93" s="3">
        <v>17</v>
      </c>
      <c r="O93" s="3">
        <v>22.5</v>
      </c>
      <c r="Q93">
        <f t="shared" si="9"/>
        <v>90</v>
      </c>
      <c r="R93" s="3">
        <v>19.399999999999999</v>
      </c>
      <c r="S93" s="3">
        <v>25</v>
      </c>
    </row>
    <row r="94" spans="1:19" x14ac:dyDescent="0.2">
      <c r="A94">
        <f t="shared" si="5"/>
        <v>91</v>
      </c>
      <c r="B94" s="3">
        <v>9.1666666666666696</v>
      </c>
      <c r="C94" s="3">
        <v>14</v>
      </c>
      <c r="E94">
        <f t="shared" si="6"/>
        <v>91</v>
      </c>
      <c r="F94" s="3">
        <v>11.5833333333333</v>
      </c>
      <c r="G94" s="3">
        <v>16</v>
      </c>
      <c r="I94">
        <f t="shared" si="7"/>
        <v>91</v>
      </c>
      <c r="J94" s="3">
        <v>14.2916666666667</v>
      </c>
      <c r="K94" s="3">
        <v>18.7916666666667</v>
      </c>
      <c r="M94">
        <f t="shared" si="8"/>
        <v>91</v>
      </c>
      <c r="N94" s="3">
        <v>17.0833333333333</v>
      </c>
      <c r="O94" s="3">
        <v>22.5</v>
      </c>
      <c r="Q94">
        <f t="shared" si="9"/>
        <v>91</v>
      </c>
      <c r="R94" s="3">
        <v>19.5</v>
      </c>
      <c r="S94" s="3">
        <v>25</v>
      </c>
    </row>
    <row r="95" spans="1:19" x14ac:dyDescent="0.2">
      <c r="A95">
        <f t="shared" si="5"/>
        <v>92</v>
      </c>
      <c r="B95" s="3">
        <v>9.3333333333333304</v>
      </c>
      <c r="C95" s="3">
        <v>14</v>
      </c>
      <c r="E95">
        <f t="shared" si="6"/>
        <v>92</v>
      </c>
      <c r="F95" s="3">
        <v>11.6666666666667</v>
      </c>
      <c r="G95" s="3">
        <v>16</v>
      </c>
      <c r="I95">
        <f t="shared" si="7"/>
        <v>92</v>
      </c>
      <c r="J95" s="3">
        <v>14.3333333333333</v>
      </c>
      <c r="K95" s="3">
        <v>18.8333333333333</v>
      </c>
      <c r="M95">
        <f t="shared" si="8"/>
        <v>92</v>
      </c>
      <c r="N95" s="3">
        <v>17.1666666666667</v>
      </c>
      <c r="O95" s="3">
        <v>22.5</v>
      </c>
      <c r="Q95">
        <f t="shared" si="9"/>
        <v>92</v>
      </c>
      <c r="R95" s="3">
        <v>19.600000000000001</v>
      </c>
      <c r="S95" s="3">
        <v>25</v>
      </c>
    </row>
    <row r="96" spans="1:19" x14ac:dyDescent="0.2">
      <c r="A96">
        <f t="shared" si="5"/>
        <v>93</v>
      </c>
      <c r="B96" s="3">
        <v>9.5</v>
      </c>
      <c r="C96" s="3">
        <v>14</v>
      </c>
      <c r="E96">
        <f t="shared" si="6"/>
        <v>93</v>
      </c>
      <c r="F96" s="3">
        <v>11.75</v>
      </c>
      <c r="G96" s="3">
        <v>16</v>
      </c>
      <c r="I96">
        <f t="shared" si="7"/>
        <v>93</v>
      </c>
      <c r="J96" s="3">
        <v>14.375</v>
      </c>
      <c r="K96" s="3">
        <v>18.875</v>
      </c>
      <c r="M96">
        <f t="shared" si="8"/>
        <v>93</v>
      </c>
      <c r="N96" s="3">
        <v>17.25</v>
      </c>
      <c r="O96" s="3">
        <v>22.5</v>
      </c>
      <c r="Q96">
        <f t="shared" si="9"/>
        <v>93</v>
      </c>
      <c r="R96" s="3">
        <v>19.7</v>
      </c>
      <c r="S96" s="3">
        <v>25</v>
      </c>
    </row>
    <row r="97" spans="1:19" x14ac:dyDescent="0.2">
      <c r="A97">
        <f t="shared" si="5"/>
        <v>94</v>
      </c>
      <c r="B97" s="3">
        <v>9.6666666666666696</v>
      </c>
      <c r="C97" s="3">
        <v>14</v>
      </c>
      <c r="E97">
        <f t="shared" si="6"/>
        <v>94</v>
      </c>
      <c r="F97" s="3">
        <v>11.8333333333333</v>
      </c>
      <c r="G97" s="3">
        <v>16</v>
      </c>
      <c r="I97">
        <f t="shared" si="7"/>
        <v>94</v>
      </c>
      <c r="J97" s="3">
        <v>14.4166666666667</v>
      </c>
      <c r="K97" s="3">
        <v>18.9166666666667</v>
      </c>
      <c r="M97">
        <f t="shared" si="8"/>
        <v>94</v>
      </c>
      <c r="N97" s="3">
        <v>17.3333333333333</v>
      </c>
      <c r="O97" s="3">
        <v>22.5</v>
      </c>
      <c r="Q97">
        <f t="shared" si="9"/>
        <v>94</v>
      </c>
      <c r="R97" s="3">
        <v>19.8</v>
      </c>
      <c r="S97" s="3">
        <v>25</v>
      </c>
    </row>
    <row r="98" spans="1:19" x14ac:dyDescent="0.2">
      <c r="A98">
        <f t="shared" si="5"/>
        <v>95</v>
      </c>
      <c r="B98" s="3">
        <v>9.8333333333333304</v>
      </c>
      <c r="C98" s="3">
        <v>14</v>
      </c>
      <c r="E98">
        <f t="shared" si="6"/>
        <v>95</v>
      </c>
      <c r="F98" s="3">
        <v>11.9166666666667</v>
      </c>
      <c r="G98" s="3">
        <v>16</v>
      </c>
      <c r="I98">
        <f t="shared" si="7"/>
        <v>95</v>
      </c>
      <c r="J98" s="3">
        <v>14.4583333333333</v>
      </c>
      <c r="K98" s="3">
        <v>18.9583333333333</v>
      </c>
      <c r="M98">
        <f t="shared" si="8"/>
        <v>95</v>
      </c>
      <c r="N98" s="3">
        <v>17.4166666666667</v>
      </c>
      <c r="O98" s="3">
        <v>22.5</v>
      </c>
      <c r="Q98">
        <f t="shared" si="9"/>
        <v>95</v>
      </c>
      <c r="R98" s="3">
        <v>19.899999999999999</v>
      </c>
      <c r="S98" s="3">
        <v>25</v>
      </c>
    </row>
    <row r="99" spans="1:19" x14ac:dyDescent="0.2">
      <c r="A99">
        <f t="shared" si="5"/>
        <v>96</v>
      </c>
      <c r="B99" s="3">
        <v>10</v>
      </c>
      <c r="C99" s="3">
        <v>14</v>
      </c>
      <c r="E99">
        <f t="shared" si="6"/>
        <v>96</v>
      </c>
      <c r="F99" s="3">
        <v>12</v>
      </c>
      <c r="G99" s="3">
        <v>16</v>
      </c>
      <c r="I99">
        <f t="shared" si="7"/>
        <v>96</v>
      </c>
      <c r="J99" s="3">
        <v>14.5</v>
      </c>
      <c r="K99" s="3">
        <v>19</v>
      </c>
      <c r="M99">
        <f t="shared" si="8"/>
        <v>96</v>
      </c>
      <c r="N99" s="3">
        <v>17.5</v>
      </c>
      <c r="O99" s="3">
        <v>22.5</v>
      </c>
      <c r="Q99">
        <f t="shared" si="9"/>
        <v>96</v>
      </c>
      <c r="R99" s="3">
        <v>20</v>
      </c>
      <c r="S99" s="3">
        <v>25</v>
      </c>
    </row>
    <row r="100" spans="1:19" x14ac:dyDescent="0.2">
      <c r="A100">
        <f t="shared" si="5"/>
        <v>97</v>
      </c>
      <c r="B100" s="3">
        <v>10</v>
      </c>
      <c r="C100" s="3">
        <v>14</v>
      </c>
      <c r="E100">
        <f t="shared" si="6"/>
        <v>97</v>
      </c>
      <c r="F100" s="3">
        <v>12</v>
      </c>
      <c r="G100" s="3">
        <v>16</v>
      </c>
      <c r="I100">
        <f t="shared" si="7"/>
        <v>97</v>
      </c>
      <c r="J100" s="3">
        <v>14.5208333333333</v>
      </c>
      <c r="K100" s="3">
        <v>19</v>
      </c>
      <c r="M100">
        <f t="shared" si="8"/>
        <v>97</v>
      </c>
      <c r="N100" s="3">
        <v>17.5208333333333</v>
      </c>
      <c r="O100" s="3">
        <v>22.5</v>
      </c>
      <c r="Q100">
        <f t="shared" si="9"/>
        <v>97</v>
      </c>
      <c r="R100" s="3">
        <v>20</v>
      </c>
      <c r="S100" s="3">
        <v>25</v>
      </c>
    </row>
    <row r="101" spans="1:19" x14ac:dyDescent="0.2">
      <c r="A101">
        <f t="shared" si="5"/>
        <v>98</v>
      </c>
      <c r="B101" s="3">
        <v>10</v>
      </c>
      <c r="C101" s="3">
        <v>14</v>
      </c>
      <c r="E101">
        <f t="shared" si="6"/>
        <v>98</v>
      </c>
      <c r="F101" s="3">
        <v>12</v>
      </c>
      <c r="G101" s="3">
        <v>16</v>
      </c>
      <c r="I101">
        <f t="shared" si="7"/>
        <v>98</v>
      </c>
      <c r="J101" s="3">
        <v>14.5416666666667</v>
      </c>
      <c r="K101" s="3">
        <v>19</v>
      </c>
      <c r="M101">
        <f t="shared" si="8"/>
        <v>98</v>
      </c>
      <c r="N101" s="3">
        <v>17.5416666666667</v>
      </c>
      <c r="O101" s="3">
        <v>22.5</v>
      </c>
      <c r="Q101">
        <f t="shared" si="9"/>
        <v>98</v>
      </c>
      <c r="R101" s="3">
        <v>20</v>
      </c>
      <c r="S101" s="3">
        <v>25</v>
      </c>
    </row>
    <row r="102" spans="1:19" x14ac:dyDescent="0.2">
      <c r="A102">
        <f t="shared" si="5"/>
        <v>99</v>
      </c>
      <c r="B102" s="3">
        <v>10</v>
      </c>
      <c r="C102" s="3">
        <v>14</v>
      </c>
      <c r="E102">
        <f t="shared" si="6"/>
        <v>99</v>
      </c>
      <c r="F102" s="3">
        <v>12</v>
      </c>
      <c r="G102" s="3">
        <v>16</v>
      </c>
      <c r="I102">
        <f t="shared" si="7"/>
        <v>99</v>
      </c>
      <c r="J102" s="3">
        <v>14.5625</v>
      </c>
      <c r="K102" s="3">
        <v>19</v>
      </c>
      <c r="M102">
        <f t="shared" si="8"/>
        <v>99</v>
      </c>
      <c r="N102" s="3">
        <v>17.5625</v>
      </c>
      <c r="O102" s="3">
        <v>22.5</v>
      </c>
      <c r="Q102">
        <f t="shared" si="9"/>
        <v>99</v>
      </c>
      <c r="R102" s="3">
        <v>20</v>
      </c>
      <c r="S102" s="3">
        <v>25</v>
      </c>
    </row>
    <row r="103" spans="1:19" x14ac:dyDescent="0.2">
      <c r="A103">
        <f t="shared" si="5"/>
        <v>100</v>
      </c>
      <c r="B103" s="3">
        <v>10</v>
      </c>
      <c r="C103" s="3">
        <v>14</v>
      </c>
      <c r="E103">
        <f t="shared" si="6"/>
        <v>100</v>
      </c>
      <c r="F103" s="3">
        <v>12</v>
      </c>
      <c r="G103" s="3">
        <v>16</v>
      </c>
      <c r="I103">
        <f t="shared" si="7"/>
        <v>100</v>
      </c>
      <c r="J103" s="3">
        <v>14.5833333333333</v>
      </c>
      <c r="K103" s="3">
        <v>19</v>
      </c>
      <c r="M103">
        <f t="shared" si="8"/>
        <v>100</v>
      </c>
      <c r="N103" s="3">
        <v>17.5833333333333</v>
      </c>
      <c r="O103" s="3">
        <v>22.5</v>
      </c>
      <c r="Q103">
        <f t="shared" si="9"/>
        <v>100</v>
      </c>
      <c r="R103" s="3">
        <v>20</v>
      </c>
      <c r="S103" s="3">
        <v>25</v>
      </c>
    </row>
    <row r="104" spans="1:19" x14ac:dyDescent="0.2">
      <c r="A104">
        <f t="shared" si="5"/>
        <v>101</v>
      </c>
      <c r="B104" s="3">
        <v>10</v>
      </c>
      <c r="C104" s="3">
        <v>14</v>
      </c>
      <c r="E104">
        <f t="shared" si="6"/>
        <v>101</v>
      </c>
      <c r="F104" s="3">
        <v>12</v>
      </c>
      <c r="G104" s="3">
        <v>16</v>
      </c>
      <c r="I104">
        <f t="shared" si="7"/>
        <v>101</v>
      </c>
      <c r="J104" s="3">
        <v>14.6041666666667</v>
      </c>
      <c r="K104" s="3">
        <v>19</v>
      </c>
      <c r="M104">
        <f t="shared" si="8"/>
        <v>101</v>
      </c>
      <c r="N104" s="3">
        <v>17.6041666666667</v>
      </c>
      <c r="O104" s="3">
        <v>22.5</v>
      </c>
      <c r="Q104">
        <f t="shared" si="9"/>
        <v>101</v>
      </c>
      <c r="R104" s="3">
        <v>20</v>
      </c>
      <c r="S104" s="3">
        <v>25</v>
      </c>
    </row>
    <row r="105" spans="1:19" x14ac:dyDescent="0.2">
      <c r="A105">
        <f t="shared" si="5"/>
        <v>102</v>
      </c>
      <c r="B105" s="3">
        <v>10</v>
      </c>
      <c r="C105" s="3">
        <v>14</v>
      </c>
      <c r="E105">
        <f t="shared" si="6"/>
        <v>102</v>
      </c>
      <c r="F105" s="3">
        <v>12</v>
      </c>
      <c r="G105" s="3">
        <v>16</v>
      </c>
      <c r="I105">
        <f t="shared" si="7"/>
        <v>102</v>
      </c>
      <c r="J105" s="3">
        <v>14.625</v>
      </c>
      <c r="K105" s="3">
        <v>19</v>
      </c>
      <c r="M105">
        <f t="shared" si="8"/>
        <v>102</v>
      </c>
      <c r="N105" s="3">
        <v>17.625</v>
      </c>
      <c r="O105" s="3">
        <v>22.5</v>
      </c>
      <c r="Q105">
        <f t="shared" si="9"/>
        <v>102</v>
      </c>
      <c r="R105" s="3">
        <v>20</v>
      </c>
      <c r="S105" s="3">
        <v>25</v>
      </c>
    </row>
    <row r="106" spans="1:19" x14ac:dyDescent="0.2">
      <c r="A106">
        <f t="shared" si="5"/>
        <v>103</v>
      </c>
      <c r="B106" s="3">
        <v>10</v>
      </c>
      <c r="C106" s="3">
        <v>14</v>
      </c>
      <c r="E106">
        <f t="shared" si="6"/>
        <v>103</v>
      </c>
      <c r="F106" s="3">
        <v>12</v>
      </c>
      <c r="G106" s="3">
        <v>16</v>
      </c>
      <c r="I106">
        <f t="shared" si="7"/>
        <v>103</v>
      </c>
      <c r="J106" s="3">
        <v>14.6458333333333</v>
      </c>
      <c r="K106" s="3">
        <v>19</v>
      </c>
      <c r="M106">
        <f t="shared" si="8"/>
        <v>103</v>
      </c>
      <c r="N106" s="3">
        <v>17.6458333333333</v>
      </c>
      <c r="O106" s="3">
        <v>22.5</v>
      </c>
      <c r="Q106">
        <f t="shared" si="9"/>
        <v>103</v>
      </c>
      <c r="R106" s="3">
        <v>20</v>
      </c>
      <c r="S106" s="3">
        <v>25</v>
      </c>
    </row>
    <row r="107" spans="1:19" x14ac:dyDescent="0.2">
      <c r="A107">
        <f t="shared" si="5"/>
        <v>104</v>
      </c>
      <c r="B107" s="3">
        <v>10</v>
      </c>
      <c r="C107" s="3">
        <v>14</v>
      </c>
      <c r="E107">
        <f t="shared" si="6"/>
        <v>104</v>
      </c>
      <c r="F107" s="3">
        <v>12</v>
      </c>
      <c r="G107" s="3">
        <v>16</v>
      </c>
      <c r="I107">
        <f t="shared" si="7"/>
        <v>104</v>
      </c>
      <c r="J107" s="3">
        <v>14.6666666666667</v>
      </c>
      <c r="K107" s="3">
        <v>19</v>
      </c>
      <c r="M107">
        <f t="shared" si="8"/>
        <v>104</v>
      </c>
      <c r="N107" s="3">
        <v>17.6666666666667</v>
      </c>
      <c r="O107" s="3">
        <v>22.5</v>
      </c>
      <c r="Q107">
        <f t="shared" si="9"/>
        <v>104</v>
      </c>
      <c r="R107" s="3">
        <v>20</v>
      </c>
      <c r="S107" s="3">
        <v>25</v>
      </c>
    </row>
    <row r="108" spans="1:19" x14ac:dyDescent="0.2">
      <c r="A108">
        <f t="shared" si="5"/>
        <v>105</v>
      </c>
      <c r="B108" s="3">
        <v>10</v>
      </c>
      <c r="C108" s="3">
        <v>14</v>
      </c>
      <c r="E108">
        <f t="shared" si="6"/>
        <v>105</v>
      </c>
      <c r="F108" s="3">
        <v>12</v>
      </c>
      <c r="G108" s="3">
        <v>16</v>
      </c>
      <c r="I108">
        <f t="shared" si="7"/>
        <v>105</v>
      </c>
      <c r="J108" s="3">
        <v>14.6875</v>
      </c>
      <c r="K108" s="3">
        <v>19</v>
      </c>
      <c r="M108">
        <f t="shared" si="8"/>
        <v>105</v>
      </c>
      <c r="N108" s="3">
        <v>17.6875</v>
      </c>
      <c r="O108" s="3">
        <v>22.5</v>
      </c>
      <c r="Q108">
        <f t="shared" si="9"/>
        <v>105</v>
      </c>
      <c r="R108" s="3">
        <v>20</v>
      </c>
      <c r="S108" s="3">
        <v>25</v>
      </c>
    </row>
    <row r="109" spans="1:19" x14ac:dyDescent="0.2">
      <c r="A109">
        <f t="shared" si="5"/>
        <v>106</v>
      </c>
      <c r="B109" s="3">
        <v>10</v>
      </c>
      <c r="C109" s="3">
        <v>14</v>
      </c>
      <c r="E109">
        <f t="shared" si="6"/>
        <v>106</v>
      </c>
      <c r="F109" s="3">
        <v>12</v>
      </c>
      <c r="G109" s="3">
        <v>16</v>
      </c>
      <c r="I109">
        <f t="shared" si="7"/>
        <v>106</v>
      </c>
      <c r="J109" s="3">
        <v>14.7083333333333</v>
      </c>
      <c r="K109" s="3">
        <v>19</v>
      </c>
      <c r="M109">
        <f t="shared" si="8"/>
        <v>106</v>
      </c>
      <c r="N109" s="3">
        <v>17.7083333333333</v>
      </c>
      <c r="O109" s="3">
        <v>22.5</v>
      </c>
      <c r="Q109">
        <f t="shared" si="9"/>
        <v>106</v>
      </c>
      <c r="R109" s="3">
        <v>20</v>
      </c>
      <c r="S109" s="3">
        <v>25</v>
      </c>
    </row>
    <row r="110" spans="1:19" x14ac:dyDescent="0.2">
      <c r="A110">
        <f t="shared" si="5"/>
        <v>107</v>
      </c>
      <c r="B110" s="3">
        <v>10</v>
      </c>
      <c r="C110" s="3">
        <v>14</v>
      </c>
      <c r="E110">
        <f t="shared" si="6"/>
        <v>107</v>
      </c>
      <c r="F110" s="3">
        <v>12</v>
      </c>
      <c r="G110" s="3">
        <v>16</v>
      </c>
      <c r="I110">
        <f t="shared" si="7"/>
        <v>107</v>
      </c>
      <c r="J110" s="3">
        <v>14.7291666666667</v>
      </c>
      <c r="K110" s="3">
        <v>19</v>
      </c>
      <c r="M110">
        <f t="shared" si="8"/>
        <v>107</v>
      </c>
      <c r="N110" s="3">
        <v>17.7291666666667</v>
      </c>
      <c r="O110" s="3">
        <v>22.5</v>
      </c>
      <c r="Q110">
        <f t="shared" si="9"/>
        <v>107</v>
      </c>
      <c r="R110" s="3">
        <v>20</v>
      </c>
      <c r="S110" s="3">
        <v>25</v>
      </c>
    </row>
    <row r="111" spans="1:19" x14ac:dyDescent="0.2">
      <c r="A111">
        <f t="shared" si="5"/>
        <v>108</v>
      </c>
      <c r="B111" s="3">
        <v>10</v>
      </c>
      <c r="C111" s="3">
        <v>14</v>
      </c>
      <c r="E111">
        <f t="shared" si="6"/>
        <v>108</v>
      </c>
      <c r="F111" s="3">
        <v>12</v>
      </c>
      <c r="G111" s="3">
        <v>16</v>
      </c>
      <c r="I111">
        <f t="shared" si="7"/>
        <v>108</v>
      </c>
      <c r="J111" s="3">
        <v>14.75</v>
      </c>
      <c r="K111" s="3">
        <v>19</v>
      </c>
      <c r="M111">
        <f t="shared" si="8"/>
        <v>108</v>
      </c>
      <c r="N111" s="3">
        <v>17.75</v>
      </c>
      <c r="O111" s="3">
        <v>22.5</v>
      </c>
      <c r="Q111">
        <f t="shared" si="9"/>
        <v>108</v>
      </c>
      <c r="R111" s="3">
        <v>20</v>
      </c>
      <c r="S111" s="3">
        <v>25</v>
      </c>
    </row>
    <row r="112" spans="1:19" x14ac:dyDescent="0.2">
      <c r="A112">
        <f t="shared" si="5"/>
        <v>109</v>
      </c>
      <c r="B112" s="3">
        <v>10</v>
      </c>
      <c r="C112" s="3">
        <v>14</v>
      </c>
      <c r="E112">
        <f t="shared" si="6"/>
        <v>109</v>
      </c>
      <c r="F112" s="3">
        <v>12</v>
      </c>
      <c r="G112" s="3">
        <v>16</v>
      </c>
      <c r="I112">
        <f t="shared" si="7"/>
        <v>109</v>
      </c>
      <c r="J112" s="3">
        <v>14.7708333333333</v>
      </c>
      <c r="K112" s="3">
        <v>19</v>
      </c>
      <c r="M112">
        <f t="shared" si="8"/>
        <v>109</v>
      </c>
      <c r="N112" s="3">
        <v>17.7708333333333</v>
      </c>
      <c r="O112" s="3">
        <v>22.5</v>
      </c>
      <c r="Q112">
        <f t="shared" si="9"/>
        <v>109</v>
      </c>
      <c r="R112" s="3">
        <v>20</v>
      </c>
      <c r="S112" s="3">
        <v>25</v>
      </c>
    </row>
    <row r="113" spans="1:19" x14ac:dyDescent="0.2">
      <c r="A113">
        <f t="shared" si="5"/>
        <v>110</v>
      </c>
      <c r="B113" s="3">
        <v>10</v>
      </c>
      <c r="C113" s="3">
        <v>14</v>
      </c>
      <c r="E113">
        <f t="shared" si="6"/>
        <v>110</v>
      </c>
      <c r="F113" s="3">
        <v>12</v>
      </c>
      <c r="G113" s="3">
        <v>16</v>
      </c>
      <c r="I113">
        <f t="shared" si="7"/>
        <v>110</v>
      </c>
      <c r="J113" s="3">
        <v>14.7916666666667</v>
      </c>
      <c r="K113" s="3">
        <v>19</v>
      </c>
      <c r="M113">
        <f t="shared" si="8"/>
        <v>110</v>
      </c>
      <c r="N113" s="3">
        <v>17.7916666666667</v>
      </c>
      <c r="O113" s="3">
        <v>22.5</v>
      </c>
      <c r="Q113">
        <f t="shared" si="9"/>
        <v>110</v>
      </c>
      <c r="R113" s="3">
        <v>20</v>
      </c>
      <c r="S113" s="3">
        <v>25</v>
      </c>
    </row>
    <row r="114" spans="1:19" x14ac:dyDescent="0.2">
      <c r="A114">
        <f t="shared" si="5"/>
        <v>111</v>
      </c>
      <c r="B114" s="3">
        <v>10</v>
      </c>
      <c r="C114" s="3">
        <v>14</v>
      </c>
      <c r="E114">
        <f t="shared" si="6"/>
        <v>111</v>
      </c>
      <c r="F114" s="3">
        <v>12</v>
      </c>
      <c r="G114" s="3">
        <v>16</v>
      </c>
      <c r="I114">
        <f t="shared" si="7"/>
        <v>111</v>
      </c>
      <c r="J114" s="3">
        <v>14.8125</v>
      </c>
      <c r="K114" s="3">
        <v>19</v>
      </c>
      <c r="M114">
        <f t="shared" si="8"/>
        <v>111</v>
      </c>
      <c r="N114" s="3">
        <v>17.8125</v>
      </c>
      <c r="O114" s="3">
        <v>22.5</v>
      </c>
      <c r="Q114">
        <f t="shared" si="9"/>
        <v>111</v>
      </c>
      <c r="R114" s="3">
        <v>20</v>
      </c>
      <c r="S114" s="3">
        <v>25</v>
      </c>
    </row>
    <row r="115" spans="1:19" x14ac:dyDescent="0.2">
      <c r="A115">
        <f t="shared" si="5"/>
        <v>112</v>
      </c>
      <c r="B115" s="3">
        <v>10</v>
      </c>
      <c r="C115" s="3">
        <v>14</v>
      </c>
      <c r="E115">
        <f t="shared" si="6"/>
        <v>112</v>
      </c>
      <c r="F115" s="3">
        <v>12</v>
      </c>
      <c r="G115" s="3">
        <v>16</v>
      </c>
      <c r="I115">
        <f t="shared" si="7"/>
        <v>112</v>
      </c>
      <c r="J115" s="3">
        <v>14.8333333333333</v>
      </c>
      <c r="K115" s="3">
        <v>19</v>
      </c>
      <c r="M115">
        <f t="shared" si="8"/>
        <v>112</v>
      </c>
      <c r="N115" s="3">
        <v>17.8333333333333</v>
      </c>
      <c r="O115" s="3">
        <v>22.5</v>
      </c>
      <c r="Q115">
        <f t="shared" si="9"/>
        <v>112</v>
      </c>
      <c r="R115" s="3">
        <v>20</v>
      </c>
      <c r="S115" s="3">
        <v>25</v>
      </c>
    </row>
    <row r="116" spans="1:19" x14ac:dyDescent="0.2">
      <c r="A116">
        <f t="shared" si="5"/>
        <v>113</v>
      </c>
      <c r="B116" s="3">
        <v>10</v>
      </c>
      <c r="C116" s="3">
        <v>14</v>
      </c>
      <c r="E116">
        <f t="shared" si="6"/>
        <v>113</v>
      </c>
      <c r="F116" s="3">
        <v>12</v>
      </c>
      <c r="G116" s="3">
        <v>16</v>
      </c>
      <c r="I116">
        <f t="shared" si="7"/>
        <v>113</v>
      </c>
      <c r="J116" s="3">
        <v>14.8541666666667</v>
      </c>
      <c r="K116" s="3">
        <v>19</v>
      </c>
      <c r="M116">
        <f t="shared" si="8"/>
        <v>113</v>
      </c>
      <c r="N116" s="3">
        <v>17.8541666666667</v>
      </c>
      <c r="O116" s="3">
        <v>22.5</v>
      </c>
      <c r="Q116">
        <f t="shared" si="9"/>
        <v>113</v>
      </c>
      <c r="R116" s="3">
        <v>20</v>
      </c>
      <c r="S116" s="3">
        <v>25</v>
      </c>
    </row>
    <row r="117" spans="1:19" x14ac:dyDescent="0.2">
      <c r="A117">
        <f t="shared" si="5"/>
        <v>114</v>
      </c>
      <c r="B117" s="3">
        <v>10</v>
      </c>
      <c r="C117" s="3">
        <v>14</v>
      </c>
      <c r="E117">
        <f t="shared" si="6"/>
        <v>114</v>
      </c>
      <c r="F117" s="3">
        <v>12</v>
      </c>
      <c r="G117" s="3">
        <v>16</v>
      </c>
      <c r="I117">
        <f t="shared" si="7"/>
        <v>114</v>
      </c>
      <c r="J117" s="3">
        <v>14.875</v>
      </c>
      <c r="K117" s="3">
        <v>19</v>
      </c>
      <c r="M117">
        <f t="shared" si="8"/>
        <v>114</v>
      </c>
      <c r="N117" s="3">
        <v>17.875</v>
      </c>
      <c r="O117" s="3">
        <v>22.5</v>
      </c>
      <c r="Q117">
        <f t="shared" si="9"/>
        <v>114</v>
      </c>
      <c r="R117" s="3">
        <v>20</v>
      </c>
      <c r="S117" s="3">
        <v>25</v>
      </c>
    </row>
    <row r="118" spans="1:19" x14ac:dyDescent="0.2">
      <c r="A118">
        <f t="shared" si="5"/>
        <v>115</v>
      </c>
      <c r="B118" s="3">
        <v>10</v>
      </c>
      <c r="C118" s="3">
        <v>14</v>
      </c>
      <c r="E118">
        <f t="shared" si="6"/>
        <v>115</v>
      </c>
      <c r="F118" s="3">
        <v>12</v>
      </c>
      <c r="G118" s="3">
        <v>16</v>
      </c>
      <c r="I118">
        <f t="shared" si="7"/>
        <v>115</v>
      </c>
      <c r="J118" s="3">
        <v>14.8958333333333</v>
      </c>
      <c r="K118" s="3">
        <v>19</v>
      </c>
      <c r="M118">
        <f t="shared" si="8"/>
        <v>115</v>
      </c>
      <c r="N118" s="3">
        <v>17.8958333333333</v>
      </c>
      <c r="O118" s="3">
        <v>22.5</v>
      </c>
      <c r="Q118">
        <f t="shared" si="9"/>
        <v>115</v>
      </c>
      <c r="R118" s="3">
        <v>20</v>
      </c>
      <c r="S118" s="3">
        <v>25</v>
      </c>
    </row>
    <row r="119" spans="1:19" x14ac:dyDescent="0.2">
      <c r="A119">
        <f t="shared" si="5"/>
        <v>116</v>
      </c>
      <c r="B119" s="3">
        <v>10</v>
      </c>
      <c r="C119" s="3">
        <v>14</v>
      </c>
      <c r="E119">
        <f t="shared" si="6"/>
        <v>116</v>
      </c>
      <c r="F119" s="3">
        <v>12</v>
      </c>
      <c r="G119" s="3">
        <v>16</v>
      </c>
      <c r="I119">
        <f t="shared" si="7"/>
        <v>116</v>
      </c>
      <c r="J119" s="3">
        <v>14.9166666666667</v>
      </c>
      <c r="K119" s="3">
        <v>19</v>
      </c>
      <c r="M119">
        <f t="shared" si="8"/>
        <v>116</v>
      </c>
      <c r="N119" s="3">
        <v>17.9166666666667</v>
      </c>
      <c r="O119" s="3">
        <v>22.5</v>
      </c>
      <c r="Q119">
        <f t="shared" si="9"/>
        <v>116</v>
      </c>
      <c r="R119" s="3">
        <v>20</v>
      </c>
      <c r="S119" s="3">
        <v>25</v>
      </c>
    </row>
    <row r="120" spans="1:19" x14ac:dyDescent="0.2">
      <c r="A120">
        <f t="shared" si="5"/>
        <v>117</v>
      </c>
      <c r="B120" s="3">
        <v>10</v>
      </c>
      <c r="C120" s="3">
        <v>14</v>
      </c>
      <c r="E120">
        <f t="shared" si="6"/>
        <v>117</v>
      </c>
      <c r="F120" s="3">
        <v>12</v>
      </c>
      <c r="G120" s="3">
        <v>16</v>
      </c>
      <c r="I120">
        <f t="shared" si="7"/>
        <v>117</v>
      </c>
      <c r="J120" s="3">
        <v>14.9375</v>
      </c>
      <c r="K120" s="3">
        <v>19</v>
      </c>
      <c r="M120">
        <f t="shared" si="8"/>
        <v>117</v>
      </c>
      <c r="N120" s="3">
        <v>17.9375</v>
      </c>
      <c r="O120" s="3">
        <v>22.5</v>
      </c>
      <c r="Q120">
        <f t="shared" si="9"/>
        <v>117</v>
      </c>
      <c r="R120" s="3">
        <v>20</v>
      </c>
      <c r="S120" s="3">
        <v>25</v>
      </c>
    </row>
    <row r="121" spans="1:19" x14ac:dyDescent="0.2">
      <c r="A121">
        <f t="shared" si="5"/>
        <v>118</v>
      </c>
      <c r="B121" s="3">
        <v>10</v>
      </c>
      <c r="C121" s="3">
        <v>14</v>
      </c>
      <c r="E121">
        <f t="shared" si="6"/>
        <v>118</v>
      </c>
      <c r="F121" s="3">
        <v>12</v>
      </c>
      <c r="G121" s="3">
        <v>16</v>
      </c>
      <c r="I121">
        <f t="shared" si="7"/>
        <v>118</v>
      </c>
      <c r="J121" s="3">
        <v>14.9583333333333</v>
      </c>
      <c r="K121" s="3">
        <v>19</v>
      </c>
      <c r="M121">
        <f t="shared" si="8"/>
        <v>118</v>
      </c>
      <c r="N121" s="3">
        <v>17.9583333333333</v>
      </c>
      <c r="O121" s="3">
        <v>22.5</v>
      </c>
      <c r="Q121">
        <f t="shared" si="9"/>
        <v>118</v>
      </c>
      <c r="R121" s="3">
        <v>20</v>
      </c>
      <c r="S121" s="3">
        <v>25</v>
      </c>
    </row>
    <row r="122" spans="1:19" x14ac:dyDescent="0.2">
      <c r="A122">
        <f t="shared" si="5"/>
        <v>119</v>
      </c>
      <c r="B122" s="3">
        <v>10</v>
      </c>
      <c r="C122" s="3">
        <v>14</v>
      </c>
      <c r="E122">
        <f t="shared" si="6"/>
        <v>119</v>
      </c>
      <c r="F122" s="3">
        <v>12</v>
      </c>
      <c r="G122" s="3">
        <v>16</v>
      </c>
      <c r="I122">
        <f t="shared" si="7"/>
        <v>119</v>
      </c>
      <c r="J122" s="3">
        <v>14.9791666666667</v>
      </c>
      <c r="K122" s="3">
        <v>19</v>
      </c>
      <c r="M122">
        <f t="shared" si="8"/>
        <v>119</v>
      </c>
      <c r="N122" s="3">
        <v>17.9791666666667</v>
      </c>
      <c r="O122" s="3">
        <v>22.5</v>
      </c>
      <c r="Q122">
        <f t="shared" si="9"/>
        <v>119</v>
      </c>
      <c r="R122" s="3">
        <v>20</v>
      </c>
      <c r="S122" s="3">
        <v>25</v>
      </c>
    </row>
    <row r="123" spans="1:19" x14ac:dyDescent="0.2">
      <c r="A123">
        <f t="shared" si="5"/>
        <v>120</v>
      </c>
      <c r="B123" s="3">
        <v>10</v>
      </c>
      <c r="C123" s="3">
        <v>14</v>
      </c>
      <c r="E123">
        <f t="shared" si="6"/>
        <v>120</v>
      </c>
      <c r="F123" s="3">
        <v>12</v>
      </c>
      <c r="G123" s="3">
        <v>16</v>
      </c>
      <c r="I123">
        <f t="shared" si="7"/>
        <v>120</v>
      </c>
      <c r="J123" s="3">
        <v>15</v>
      </c>
      <c r="K123" s="3">
        <v>19</v>
      </c>
      <c r="M123">
        <f t="shared" si="8"/>
        <v>120</v>
      </c>
      <c r="N123" s="3">
        <v>18</v>
      </c>
      <c r="O123" s="3">
        <v>22.5</v>
      </c>
      <c r="Q123">
        <f t="shared" si="9"/>
        <v>120</v>
      </c>
      <c r="R123" s="3">
        <v>20</v>
      </c>
      <c r="S123" s="3">
        <v>25</v>
      </c>
    </row>
    <row r="146" spans="2:22" ht="15.75" thickBot="1" x14ac:dyDescent="0.25"/>
    <row r="147" spans="2:22" ht="15.75" thickBot="1" x14ac:dyDescent="0.25">
      <c r="B147" s="97" t="s">
        <v>6</v>
      </c>
      <c r="C147" s="98"/>
      <c r="D147" s="1"/>
      <c r="E147" s="1"/>
      <c r="J147" s="99" t="s">
        <v>16</v>
      </c>
      <c r="K147" s="100"/>
      <c r="L147" s="1"/>
      <c r="M147" s="1"/>
      <c r="N147" s="1"/>
      <c r="O147" s="1"/>
      <c r="R147" t="s">
        <v>40</v>
      </c>
    </row>
    <row r="148" spans="2:22" ht="15.75" thickBot="1" x14ac:dyDescent="0.25">
      <c r="B148" s="10" t="s">
        <v>3</v>
      </c>
      <c r="C148" s="11" t="s">
        <v>23</v>
      </c>
      <c r="D148" s="11" t="s">
        <v>21</v>
      </c>
      <c r="E148" s="12" t="s">
        <v>22</v>
      </c>
      <c r="J148" s="5" t="s">
        <v>10</v>
      </c>
      <c r="K148" s="6" t="s">
        <v>8</v>
      </c>
      <c r="L148" s="7" t="s">
        <v>11</v>
      </c>
      <c r="M148" s="7" t="s">
        <v>12</v>
      </c>
      <c r="N148" s="7" t="s">
        <v>13</v>
      </c>
      <c r="O148" s="8" t="s">
        <v>14</v>
      </c>
      <c r="Q148" s="71" t="s">
        <v>10</v>
      </c>
      <c r="R148" s="72" t="s">
        <v>35</v>
      </c>
      <c r="S148" s="72" t="s">
        <v>36</v>
      </c>
      <c r="T148" s="72" t="s">
        <v>37</v>
      </c>
      <c r="U148" s="72" t="s">
        <v>38</v>
      </c>
      <c r="V148" s="72" t="s">
        <v>39</v>
      </c>
    </row>
    <row r="149" spans="2:22" x14ac:dyDescent="0.2">
      <c r="B149" s="19">
        <v>24</v>
      </c>
      <c r="C149" s="20">
        <v>6.1</v>
      </c>
      <c r="D149" s="20">
        <v>7.5</v>
      </c>
      <c r="E149" s="20">
        <v>8.9</v>
      </c>
      <c r="J149" s="14">
        <v>0</v>
      </c>
      <c r="K149" s="15">
        <v>6</v>
      </c>
      <c r="L149" s="15">
        <v>6</v>
      </c>
      <c r="M149" s="15">
        <v>6</v>
      </c>
      <c r="N149" s="15">
        <v>6</v>
      </c>
      <c r="O149" s="15">
        <v>6.8</v>
      </c>
      <c r="Q149" s="73">
        <v>0</v>
      </c>
      <c r="R149" s="74">
        <v>8</v>
      </c>
      <c r="S149" s="74">
        <v>10</v>
      </c>
      <c r="T149" s="74">
        <v>12</v>
      </c>
      <c r="U149" s="74">
        <v>14</v>
      </c>
      <c r="V149" s="74">
        <v>16</v>
      </c>
    </row>
    <row r="150" spans="2:22" x14ac:dyDescent="0.2">
      <c r="B150" s="21">
        <v>25</v>
      </c>
      <c r="C150" s="22">
        <v>6.2</v>
      </c>
      <c r="D150" s="22">
        <v>7.7</v>
      </c>
      <c r="E150" s="22">
        <v>9.1</v>
      </c>
      <c r="J150" s="17">
        <v>1</v>
      </c>
      <c r="K150" s="18">
        <v>6</v>
      </c>
      <c r="L150" s="18">
        <v>6</v>
      </c>
      <c r="M150" s="18">
        <v>6</v>
      </c>
      <c r="N150" s="18">
        <v>6.125</v>
      </c>
      <c r="O150" s="18">
        <v>6.9833333333333298</v>
      </c>
      <c r="Q150" s="75">
        <v>1</v>
      </c>
      <c r="R150" s="74">
        <v>8.1666666666666696</v>
      </c>
      <c r="S150" s="74">
        <v>10.1666666666667</v>
      </c>
      <c r="T150" s="74">
        <v>12.125</v>
      </c>
      <c r="U150" s="74">
        <v>14.0833333333333</v>
      </c>
      <c r="V150" s="74">
        <v>16.125</v>
      </c>
    </row>
    <row r="151" spans="2:22" x14ac:dyDescent="0.2">
      <c r="B151" s="21">
        <v>26</v>
      </c>
      <c r="C151" s="22">
        <v>6.4</v>
      </c>
      <c r="D151" s="22">
        <v>7.8</v>
      </c>
      <c r="E151" s="22">
        <v>9.1999999999999993</v>
      </c>
      <c r="J151" s="17">
        <f t="shared" ref="J151:J182" si="10">J150+1</f>
        <v>2</v>
      </c>
      <c r="K151" s="18">
        <v>6</v>
      </c>
      <c r="L151" s="18">
        <v>6</v>
      </c>
      <c r="M151" s="18">
        <v>6</v>
      </c>
      <c r="N151" s="18">
        <v>6.25</v>
      </c>
      <c r="O151" s="18">
        <v>7.1666666666666696</v>
      </c>
      <c r="Q151" s="75">
        <f t="shared" ref="Q151:Q214" si="11">Q150+1</f>
        <v>2</v>
      </c>
      <c r="R151" s="74">
        <v>8.3333333333333304</v>
      </c>
      <c r="S151" s="74">
        <v>10.3333333333333</v>
      </c>
      <c r="T151" s="74">
        <v>12.25</v>
      </c>
      <c r="U151" s="74">
        <v>14.1666666666667</v>
      </c>
      <c r="V151" s="74">
        <v>16.25</v>
      </c>
    </row>
    <row r="152" spans="2:22" x14ac:dyDescent="0.2">
      <c r="B152" s="21">
        <v>27</v>
      </c>
      <c r="C152" s="22">
        <v>6.5</v>
      </c>
      <c r="D152" s="22">
        <v>8</v>
      </c>
      <c r="E152" s="22">
        <v>9.3000000000000007</v>
      </c>
      <c r="J152" s="17">
        <f t="shared" si="10"/>
        <v>3</v>
      </c>
      <c r="K152" s="18">
        <v>6</v>
      </c>
      <c r="L152" s="18">
        <v>6</v>
      </c>
      <c r="M152" s="18">
        <v>6</v>
      </c>
      <c r="N152" s="18">
        <v>6.375</v>
      </c>
      <c r="O152" s="18">
        <v>7.35</v>
      </c>
      <c r="Q152" s="75">
        <f t="shared" si="11"/>
        <v>3</v>
      </c>
      <c r="R152" s="74">
        <v>8.5</v>
      </c>
      <c r="S152" s="74">
        <v>10.5</v>
      </c>
      <c r="T152" s="74">
        <v>12.375</v>
      </c>
      <c r="U152" s="74">
        <v>14.25</v>
      </c>
      <c r="V152" s="74">
        <v>16.375</v>
      </c>
    </row>
    <row r="153" spans="2:22" x14ac:dyDescent="0.2">
      <c r="B153" s="21">
        <v>28</v>
      </c>
      <c r="C153" s="22">
        <v>6.7</v>
      </c>
      <c r="D153" s="22">
        <v>8.1999999999999993</v>
      </c>
      <c r="E153" s="22">
        <v>9.5</v>
      </c>
      <c r="J153" s="17">
        <f t="shared" si="10"/>
        <v>4</v>
      </c>
      <c r="K153" s="18">
        <v>6</v>
      </c>
      <c r="L153" s="18">
        <v>6</v>
      </c>
      <c r="M153" s="18">
        <v>6</v>
      </c>
      <c r="N153" s="18">
        <v>6.5</v>
      </c>
      <c r="O153" s="18">
        <v>7.5333333333333297</v>
      </c>
      <c r="Q153" s="75">
        <f t="shared" si="11"/>
        <v>4</v>
      </c>
      <c r="R153" s="74">
        <v>8.6666666666666696</v>
      </c>
      <c r="S153" s="74">
        <v>10.6666666666667</v>
      </c>
      <c r="T153" s="74">
        <v>12.5</v>
      </c>
      <c r="U153" s="74">
        <v>14.3333333333333</v>
      </c>
      <c r="V153" s="74">
        <v>16.5</v>
      </c>
    </row>
    <row r="154" spans="2:22" x14ac:dyDescent="0.2">
      <c r="B154" s="21">
        <v>29</v>
      </c>
      <c r="C154" s="22">
        <v>6.8</v>
      </c>
      <c r="D154" s="22">
        <v>8.3000000000000007</v>
      </c>
      <c r="E154" s="22">
        <v>9.6</v>
      </c>
      <c r="J154" s="17">
        <f t="shared" si="10"/>
        <v>5</v>
      </c>
      <c r="K154" s="18">
        <v>6</v>
      </c>
      <c r="L154" s="18">
        <v>6</v>
      </c>
      <c r="M154" s="18">
        <v>6</v>
      </c>
      <c r="N154" s="18">
        <v>6.625</v>
      </c>
      <c r="O154" s="18">
        <v>7.7166666666666703</v>
      </c>
      <c r="Q154" s="75">
        <f t="shared" si="11"/>
        <v>5</v>
      </c>
      <c r="R154" s="74">
        <v>8.8333333333333304</v>
      </c>
      <c r="S154" s="74">
        <v>10.8333333333333</v>
      </c>
      <c r="T154" s="74">
        <v>12.625</v>
      </c>
      <c r="U154" s="74">
        <v>14.4166666666667</v>
      </c>
      <c r="V154" s="74">
        <v>16.625</v>
      </c>
    </row>
    <row r="155" spans="2:22" x14ac:dyDescent="0.2">
      <c r="B155" s="23">
        <v>30</v>
      </c>
      <c r="C155" s="24">
        <v>7</v>
      </c>
      <c r="D155" s="24">
        <v>8.5</v>
      </c>
      <c r="E155" s="24">
        <v>9.6999999999999993</v>
      </c>
      <c r="J155" s="17">
        <f t="shared" si="10"/>
        <v>6</v>
      </c>
      <c r="K155" s="18">
        <v>6</v>
      </c>
      <c r="L155" s="18">
        <v>6</v>
      </c>
      <c r="M155" s="18">
        <v>6</v>
      </c>
      <c r="N155" s="18">
        <v>6.75</v>
      </c>
      <c r="O155" s="18">
        <v>7.9</v>
      </c>
      <c r="Q155" s="75">
        <f t="shared" si="11"/>
        <v>6</v>
      </c>
      <c r="R155" s="74">
        <v>9</v>
      </c>
      <c r="S155" s="74">
        <v>11</v>
      </c>
      <c r="T155" s="74">
        <v>12.75</v>
      </c>
      <c r="U155" s="74">
        <v>14.5</v>
      </c>
      <c r="V155" s="74">
        <v>16.75</v>
      </c>
    </row>
    <row r="156" spans="2:22" x14ac:dyDescent="0.2">
      <c r="B156" s="21">
        <v>31</v>
      </c>
      <c r="C156" s="22">
        <v>7.2</v>
      </c>
      <c r="D156" s="22">
        <v>8.6</v>
      </c>
      <c r="E156" s="22">
        <v>9.9</v>
      </c>
      <c r="J156" s="17">
        <f t="shared" si="10"/>
        <v>7</v>
      </c>
      <c r="K156" s="18">
        <v>6</v>
      </c>
      <c r="L156" s="18">
        <v>6</v>
      </c>
      <c r="M156" s="18">
        <v>6</v>
      </c>
      <c r="N156" s="18">
        <v>6.875</v>
      </c>
      <c r="O156" s="18">
        <v>8.0833333333333304</v>
      </c>
      <c r="Q156" s="75">
        <f t="shared" si="11"/>
        <v>7</v>
      </c>
      <c r="R156" s="74">
        <v>9.1666666666666696</v>
      </c>
      <c r="S156" s="74">
        <v>11.1666666666667</v>
      </c>
      <c r="T156" s="74">
        <v>12.875</v>
      </c>
      <c r="U156" s="74">
        <v>14.5833333333333</v>
      </c>
      <c r="V156" s="74">
        <v>16.875</v>
      </c>
    </row>
    <row r="157" spans="2:22" x14ac:dyDescent="0.2">
      <c r="B157" s="21">
        <v>32</v>
      </c>
      <c r="C157" s="22">
        <v>7.3</v>
      </c>
      <c r="D157" s="22">
        <v>8.6999999999999993</v>
      </c>
      <c r="E157" s="22">
        <v>10.1</v>
      </c>
      <c r="J157" s="17">
        <f t="shared" si="10"/>
        <v>8</v>
      </c>
      <c r="K157" s="18">
        <v>6</v>
      </c>
      <c r="L157" s="18">
        <v>6</v>
      </c>
      <c r="M157" s="18">
        <v>6</v>
      </c>
      <c r="N157" s="18">
        <v>7</v>
      </c>
      <c r="O157" s="18">
        <v>8.2666666666666693</v>
      </c>
      <c r="Q157" s="75">
        <f t="shared" si="11"/>
        <v>8</v>
      </c>
      <c r="R157" s="74">
        <v>9.3333333333333304</v>
      </c>
      <c r="S157" s="74">
        <v>11.3333333333333</v>
      </c>
      <c r="T157" s="74">
        <v>13</v>
      </c>
      <c r="U157" s="74">
        <v>14.6666666666667</v>
      </c>
      <c r="V157" s="74">
        <v>17</v>
      </c>
    </row>
    <row r="158" spans="2:22" x14ac:dyDescent="0.2">
      <c r="B158" s="21">
        <v>33</v>
      </c>
      <c r="C158" s="22">
        <v>7.5</v>
      </c>
      <c r="D158" s="22">
        <v>8.9</v>
      </c>
      <c r="E158" s="22">
        <v>10.199999999999999</v>
      </c>
      <c r="J158" s="17">
        <f t="shared" si="10"/>
        <v>9</v>
      </c>
      <c r="K158" s="18">
        <v>6</v>
      </c>
      <c r="L158" s="18">
        <v>6</v>
      </c>
      <c r="M158" s="18">
        <v>6</v>
      </c>
      <c r="N158" s="18">
        <v>7.125</v>
      </c>
      <c r="O158" s="18">
        <v>8.4499999999999993</v>
      </c>
      <c r="Q158" s="75">
        <f t="shared" si="11"/>
        <v>9</v>
      </c>
      <c r="R158" s="74">
        <v>9.5</v>
      </c>
      <c r="S158" s="74">
        <v>11.5</v>
      </c>
      <c r="T158" s="74">
        <v>13.125</v>
      </c>
      <c r="U158" s="74">
        <v>14.75</v>
      </c>
      <c r="V158" s="74">
        <v>17.125</v>
      </c>
    </row>
    <row r="159" spans="2:22" x14ac:dyDescent="0.2">
      <c r="B159" s="21">
        <v>34</v>
      </c>
      <c r="C159" s="22">
        <v>7.7</v>
      </c>
      <c r="D159" s="22">
        <v>9</v>
      </c>
      <c r="E159" s="22">
        <v>10.5</v>
      </c>
      <c r="J159" s="17">
        <f t="shared" si="10"/>
        <v>10</v>
      </c>
      <c r="K159" s="18">
        <v>6</v>
      </c>
      <c r="L159" s="18">
        <v>6</v>
      </c>
      <c r="M159" s="18">
        <v>6</v>
      </c>
      <c r="N159" s="18">
        <v>7.25</v>
      </c>
      <c r="O159" s="18">
        <v>8.6333333333333293</v>
      </c>
      <c r="Q159" s="75">
        <f t="shared" si="11"/>
        <v>10</v>
      </c>
      <c r="R159" s="74">
        <v>9.6666666666666696</v>
      </c>
      <c r="S159" s="74">
        <v>11.6666666666667</v>
      </c>
      <c r="T159" s="74">
        <v>13.25</v>
      </c>
      <c r="U159" s="74">
        <v>14.8333333333333</v>
      </c>
      <c r="V159" s="74">
        <v>17.25</v>
      </c>
    </row>
    <row r="160" spans="2:22" x14ac:dyDescent="0.2">
      <c r="B160" s="21">
        <v>35</v>
      </c>
      <c r="C160" s="22">
        <v>7.9</v>
      </c>
      <c r="D160" s="22">
        <v>9.1</v>
      </c>
      <c r="E160" s="22">
        <v>10.6</v>
      </c>
      <c r="J160" s="17">
        <f t="shared" si="10"/>
        <v>11</v>
      </c>
      <c r="K160" s="18">
        <v>6</v>
      </c>
      <c r="L160" s="18">
        <v>6</v>
      </c>
      <c r="M160" s="18">
        <v>6</v>
      </c>
      <c r="N160" s="18">
        <v>7.375</v>
      </c>
      <c r="O160" s="18">
        <v>8.81666666666667</v>
      </c>
      <c r="Q160" s="75">
        <f t="shared" si="11"/>
        <v>11</v>
      </c>
      <c r="R160" s="74">
        <v>9.8333333333333304</v>
      </c>
      <c r="S160" s="74">
        <v>11.8333333333333</v>
      </c>
      <c r="T160" s="74">
        <v>13.375</v>
      </c>
      <c r="U160" s="74">
        <v>14.9166666666667</v>
      </c>
      <c r="V160" s="74">
        <v>17.375</v>
      </c>
    </row>
    <row r="161" spans="2:22" x14ac:dyDescent="0.2">
      <c r="B161" s="23">
        <v>36</v>
      </c>
      <c r="C161" s="24">
        <v>8</v>
      </c>
      <c r="D161" s="24">
        <v>9.1999999999999993</v>
      </c>
      <c r="E161" s="24">
        <v>10.8</v>
      </c>
      <c r="J161" s="17">
        <f t="shared" si="10"/>
        <v>12</v>
      </c>
      <c r="K161" s="18">
        <v>6</v>
      </c>
      <c r="L161" s="18">
        <v>6</v>
      </c>
      <c r="M161" s="18">
        <v>6</v>
      </c>
      <c r="N161" s="18">
        <v>7.5</v>
      </c>
      <c r="O161" s="18">
        <v>9</v>
      </c>
      <c r="Q161" s="75">
        <f t="shared" si="11"/>
        <v>12</v>
      </c>
      <c r="R161" s="74">
        <v>10</v>
      </c>
      <c r="S161" s="74">
        <v>12</v>
      </c>
      <c r="T161" s="74">
        <v>13.5</v>
      </c>
      <c r="U161" s="74">
        <v>15</v>
      </c>
      <c r="V161" s="74">
        <v>17.5</v>
      </c>
    </row>
    <row r="162" spans="2:22" x14ac:dyDescent="0.2">
      <c r="B162" s="21">
        <v>37</v>
      </c>
      <c r="C162" s="22">
        <v>8.1</v>
      </c>
      <c r="D162" s="22">
        <v>9.3000000000000007</v>
      </c>
      <c r="E162" s="22">
        <v>10.8</v>
      </c>
      <c r="J162" s="17">
        <f t="shared" si="10"/>
        <v>13</v>
      </c>
      <c r="K162" s="18">
        <v>6</v>
      </c>
      <c r="L162" s="18">
        <v>6.0833333333333304</v>
      </c>
      <c r="M162" s="18">
        <v>6.1666666666666696</v>
      </c>
      <c r="N162" s="18">
        <v>7.7083333333333304</v>
      </c>
      <c r="O162" s="18">
        <v>9.2083333333333304</v>
      </c>
      <c r="Q162" s="75">
        <f t="shared" si="11"/>
        <v>13</v>
      </c>
      <c r="R162" s="74">
        <v>10.0833333333333</v>
      </c>
      <c r="S162" s="74">
        <v>12.0833333333333</v>
      </c>
      <c r="T162" s="74">
        <v>13.625</v>
      </c>
      <c r="U162" s="74">
        <v>15.125</v>
      </c>
      <c r="V162" s="74">
        <v>17.625</v>
      </c>
    </row>
    <row r="163" spans="2:22" x14ac:dyDescent="0.2">
      <c r="B163" s="21">
        <v>38</v>
      </c>
      <c r="C163" s="22">
        <v>8.1999999999999993</v>
      </c>
      <c r="D163" s="22">
        <v>9.4</v>
      </c>
      <c r="E163" s="22">
        <v>10.9</v>
      </c>
      <c r="J163" s="17">
        <f t="shared" si="10"/>
        <v>14</v>
      </c>
      <c r="K163" s="18">
        <v>6</v>
      </c>
      <c r="L163" s="18">
        <v>6.1666666666666696</v>
      </c>
      <c r="M163" s="18">
        <v>6.3333333333333304</v>
      </c>
      <c r="N163" s="18">
        <v>7.9166666666666696</v>
      </c>
      <c r="O163" s="18">
        <v>9.4166666666666696</v>
      </c>
      <c r="Q163" s="75">
        <f t="shared" si="11"/>
        <v>14</v>
      </c>
      <c r="R163" s="74">
        <v>10.1666666666667</v>
      </c>
      <c r="S163" s="74">
        <v>12.1666666666667</v>
      </c>
      <c r="T163" s="74">
        <v>13.75</v>
      </c>
      <c r="U163" s="74">
        <v>15.25</v>
      </c>
      <c r="V163" s="74">
        <v>17.75</v>
      </c>
    </row>
    <row r="164" spans="2:22" x14ac:dyDescent="0.2">
      <c r="B164" s="21">
        <v>39</v>
      </c>
      <c r="C164" s="22">
        <v>8.3000000000000007</v>
      </c>
      <c r="D164" s="22">
        <v>9.5</v>
      </c>
      <c r="E164" s="22">
        <v>10.9</v>
      </c>
      <c r="J164" s="17">
        <f t="shared" si="10"/>
        <v>15</v>
      </c>
      <c r="K164" s="18">
        <v>6</v>
      </c>
      <c r="L164" s="18">
        <v>6.25</v>
      </c>
      <c r="M164" s="18">
        <v>6.5</v>
      </c>
      <c r="N164" s="18">
        <v>8.125</v>
      </c>
      <c r="O164" s="18">
        <v>9.625</v>
      </c>
      <c r="Q164" s="75">
        <f t="shared" si="11"/>
        <v>15</v>
      </c>
      <c r="R164" s="74">
        <v>10.25</v>
      </c>
      <c r="S164" s="74">
        <v>12.25</v>
      </c>
      <c r="T164" s="74">
        <v>13.875</v>
      </c>
      <c r="U164" s="74">
        <v>15.375</v>
      </c>
      <c r="V164" s="74">
        <v>17.875</v>
      </c>
    </row>
    <row r="165" spans="2:22" x14ac:dyDescent="0.2">
      <c r="B165" s="21">
        <v>40</v>
      </c>
      <c r="C165" s="22">
        <v>8.4</v>
      </c>
      <c r="D165" s="22">
        <v>9.6</v>
      </c>
      <c r="E165" s="22">
        <v>11</v>
      </c>
      <c r="J165" s="17">
        <f t="shared" si="10"/>
        <v>16</v>
      </c>
      <c r="K165" s="18">
        <v>6</v>
      </c>
      <c r="L165" s="18">
        <v>6.3333333333333304</v>
      </c>
      <c r="M165" s="18">
        <v>6.6666666666666696</v>
      </c>
      <c r="N165" s="18">
        <v>8.3333333333333304</v>
      </c>
      <c r="O165" s="18">
        <v>9.8333333333333304</v>
      </c>
      <c r="Q165" s="75">
        <f t="shared" si="11"/>
        <v>16</v>
      </c>
      <c r="R165" s="74">
        <v>10.3333333333333</v>
      </c>
      <c r="S165" s="74">
        <v>12.3333333333333</v>
      </c>
      <c r="T165" s="74">
        <v>14</v>
      </c>
      <c r="U165" s="74">
        <v>15.5</v>
      </c>
      <c r="V165" s="74">
        <v>18</v>
      </c>
    </row>
    <row r="166" spans="2:22" x14ac:dyDescent="0.2">
      <c r="B166" s="21">
        <v>41</v>
      </c>
      <c r="C166" s="22">
        <v>8.5</v>
      </c>
      <c r="D166" s="22">
        <v>9.6999999999999993</v>
      </c>
      <c r="E166" s="22">
        <v>11.1</v>
      </c>
      <c r="J166" s="17">
        <f t="shared" si="10"/>
        <v>17</v>
      </c>
      <c r="K166" s="18">
        <v>6</v>
      </c>
      <c r="L166" s="18">
        <v>6.4166666666666696</v>
      </c>
      <c r="M166" s="18">
        <v>6.8333333333333304</v>
      </c>
      <c r="N166" s="18">
        <v>8.5416666666666696</v>
      </c>
      <c r="O166" s="18">
        <v>10.0416666666667</v>
      </c>
      <c r="Q166" s="75">
        <f t="shared" si="11"/>
        <v>17</v>
      </c>
      <c r="R166" s="74">
        <v>10.4166666666667</v>
      </c>
      <c r="S166" s="74">
        <v>12.4166666666667</v>
      </c>
      <c r="T166" s="74">
        <v>14.125</v>
      </c>
      <c r="U166" s="74">
        <v>15.625</v>
      </c>
      <c r="V166" s="74">
        <v>18.125</v>
      </c>
    </row>
    <row r="167" spans="2:22" x14ac:dyDescent="0.2">
      <c r="B167" s="23">
        <v>42</v>
      </c>
      <c r="C167" s="24">
        <v>8.6</v>
      </c>
      <c r="D167" s="24">
        <v>9.8000000000000007</v>
      </c>
      <c r="E167" s="24">
        <v>11.1</v>
      </c>
      <c r="J167" s="17">
        <f t="shared" si="10"/>
        <v>18</v>
      </c>
      <c r="K167" s="18">
        <v>6</v>
      </c>
      <c r="L167" s="18">
        <v>6.5</v>
      </c>
      <c r="M167" s="18">
        <v>7</v>
      </c>
      <c r="N167" s="18">
        <v>8.75</v>
      </c>
      <c r="O167" s="18">
        <v>10.25</v>
      </c>
      <c r="Q167" s="75">
        <f t="shared" si="11"/>
        <v>18</v>
      </c>
      <c r="R167" s="74">
        <v>10.5</v>
      </c>
      <c r="S167" s="74">
        <v>12.5</v>
      </c>
      <c r="T167" s="74">
        <v>14.25</v>
      </c>
      <c r="U167" s="74">
        <v>15.75</v>
      </c>
      <c r="V167" s="74">
        <v>18.25</v>
      </c>
    </row>
    <row r="168" spans="2:22" x14ac:dyDescent="0.2">
      <c r="B168" s="21">
        <v>43</v>
      </c>
      <c r="C168" s="22">
        <v>8.6999999999999993</v>
      </c>
      <c r="D168" s="22">
        <v>9.9</v>
      </c>
      <c r="E168" s="22">
        <v>11.2</v>
      </c>
      <c r="J168" s="17">
        <f t="shared" si="10"/>
        <v>19</v>
      </c>
      <c r="K168" s="18">
        <v>6</v>
      </c>
      <c r="L168" s="18">
        <v>6.5833333333333304</v>
      </c>
      <c r="M168" s="18">
        <v>7.1666666666666696</v>
      </c>
      <c r="N168" s="18">
        <v>8.9583333333333304</v>
      </c>
      <c r="O168" s="18">
        <v>10.4583333333333</v>
      </c>
      <c r="Q168" s="75">
        <f t="shared" si="11"/>
        <v>19</v>
      </c>
      <c r="R168" s="74">
        <v>10.5833333333333</v>
      </c>
      <c r="S168" s="74">
        <v>12.5833333333333</v>
      </c>
      <c r="T168" s="74">
        <v>14.375</v>
      </c>
      <c r="U168" s="74">
        <v>15.875</v>
      </c>
      <c r="V168" s="74">
        <v>18.375</v>
      </c>
    </row>
    <row r="169" spans="2:22" x14ac:dyDescent="0.2">
      <c r="B169" s="21">
        <v>44</v>
      </c>
      <c r="C169" s="22">
        <v>8.6999999999999993</v>
      </c>
      <c r="D169" s="22">
        <v>9.9</v>
      </c>
      <c r="E169" s="22">
        <v>11.3</v>
      </c>
      <c r="J169" s="17">
        <f t="shared" si="10"/>
        <v>20</v>
      </c>
      <c r="K169" s="18">
        <v>6</v>
      </c>
      <c r="L169" s="18">
        <v>6.6666666666666696</v>
      </c>
      <c r="M169" s="18">
        <v>7.3333333333333304</v>
      </c>
      <c r="N169" s="18">
        <v>9.1666666666666696</v>
      </c>
      <c r="O169" s="18">
        <v>10.6666666666667</v>
      </c>
      <c r="Q169" s="75">
        <f t="shared" si="11"/>
        <v>20</v>
      </c>
      <c r="R169" s="74">
        <v>10.6666666666667</v>
      </c>
      <c r="S169" s="74">
        <v>12.6666666666667</v>
      </c>
      <c r="T169" s="74">
        <v>14.5</v>
      </c>
      <c r="U169" s="74">
        <v>16</v>
      </c>
      <c r="V169" s="74">
        <v>18.5</v>
      </c>
    </row>
    <row r="170" spans="2:22" x14ac:dyDescent="0.2">
      <c r="B170" s="21">
        <v>45</v>
      </c>
      <c r="C170" s="22">
        <v>8.8000000000000007</v>
      </c>
      <c r="D170" s="22">
        <v>10</v>
      </c>
      <c r="E170" s="22">
        <v>11.5</v>
      </c>
      <c r="J170" s="17">
        <f t="shared" si="10"/>
        <v>21</v>
      </c>
      <c r="K170" s="18">
        <v>6</v>
      </c>
      <c r="L170" s="18">
        <v>6.75</v>
      </c>
      <c r="M170" s="18">
        <v>7.5</v>
      </c>
      <c r="N170" s="18">
        <v>9.375</v>
      </c>
      <c r="O170" s="18">
        <v>10.875</v>
      </c>
      <c r="Q170" s="75">
        <f t="shared" si="11"/>
        <v>21</v>
      </c>
      <c r="R170" s="74">
        <v>10.75</v>
      </c>
      <c r="S170" s="74">
        <v>12.75</v>
      </c>
      <c r="T170" s="74">
        <v>14.625</v>
      </c>
      <c r="U170" s="74">
        <v>16.125</v>
      </c>
      <c r="V170" s="74">
        <v>18.625</v>
      </c>
    </row>
    <row r="171" spans="2:22" x14ac:dyDescent="0.2">
      <c r="B171" s="21">
        <v>46</v>
      </c>
      <c r="C171" s="22">
        <v>8.9</v>
      </c>
      <c r="D171" s="22">
        <v>10.1</v>
      </c>
      <c r="E171" s="22">
        <v>11.6</v>
      </c>
      <c r="J171" s="17">
        <f t="shared" si="10"/>
        <v>22</v>
      </c>
      <c r="K171" s="18">
        <v>6</v>
      </c>
      <c r="L171" s="18">
        <v>6.8333333333333304</v>
      </c>
      <c r="M171" s="18">
        <v>7.6666666666666696</v>
      </c>
      <c r="N171" s="18">
        <v>9.5833333333333304</v>
      </c>
      <c r="O171" s="18">
        <v>11.0833333333333</v>
      </c>
      <c r="Q171" s="75">
        <f t="shared" si="11"/>
        <v>22</v>
      </c>
      <c r="R171" s="74">
        <v>10.8333333333333</v>
      </c>
      <c r="S171" s="74">
        <v>12.8333333333333</v>
      </c>
      <c r="T171" s="74">
        <v>14.75</v>
      </c>
      <c r="U171" s="74">
        <v>16.25</v>
      </c>
      <c r="V171" s="74">
        <v>18.75</v>
      </c>
    </row>
    <row r="172" spans="2:22" x14ac:dyDescent="0.2">
      <c r="B172" s="21">
        <v>47</v>
      </c>
      <c r="C172" s="22">
        <v>8.9</v>
      </c>
      <c r="D172" s="22">
        <v>10.199999999999999</v>
      </c>
      <c r="E172" s="22">
        <v>11.7</v>
      </c>
      <c r="J172" s="17">
        <f t="shared" si="10"/>
        <v>23</v>
      </c>
      <c r="K172" s="18">
        <v>6</v>
      </c>
      <c r="L172" s="18">
        <v>6.9166666666666696</v>
      </c>
      <c r="M172" s="18">
        <v>7.8333333333333304</v>
      </c>
      <c r="N172" s="18">
        <v>9.7916666666666696</v>
      </c>
      <c r="O172" s="18">
        <v>11.2916666666667</v>
      </c>
      <c r="Q172" s="75">
        <f t="shared" si="11"/>
        <v>23</v>
      </c>
      <c r="R172" s="74">
        <v>10.9166666666667</v>
      </c>
      <c r="S172" s="74">
        <v>12.9166666666667</v>
      </c>
      <c r="T172" s="74">
        <v>14.875</v>
      </c>
      <c r="U172" s="74">
        <v>16.375</v>
      </c>
      <c r="V172" s="74">
        <v>18.875</v>
      </c>
    </row>
    <row r="173" spans="2:22" x14ac:dyDescent="0.2">
      <c r="B173" s="23">
        <v>48</v>
      </c>
      <c r="C173" s="24">
        <v>9</v>
      </c>
      <c r="D173" s="24">
        <v>10.199999999999999</v>
      </c>
      <c r="E173" s="24">
        <v>11.8</v>
      </c>
      <c r="J173" s="17">
        <f t="shared" si="10"/>
        <v>24</v>
      </c>
      <c r="K173" s="18">
        <v>6</v>
      </c>
      <c r="L173" s="18">
        <v>7</v>
      </c>
      <c r="M173" s="18">
        <v>8</v>
      </c>
      <c r="N173" s="18">
        <v>10</v>
      </c>
      <c r="O173" s="18">
        <v>11.5</v>
      </c>
      <c r="Q173" s="75">
        <f t="shared" si="11"/>
        <v>24</v>
      </c>
      <c r="R173" s="74">
        <v>11</v>
      </c>
      <c r="S173" s="74">
        <v>13</v>
      </c>
      <c r="T173" s="74">
        <v>15</v>
      </c>
      <c r="U173" s="74">
        <v>16.5</v>
      </c>
      <c r="V173" s="74">
        <v>19</v>
      </c>
    </row>
    <row r="174" spans="2:22" x14ac:dyDescent="0.2">
      <c r="B174" s="21">
        <v>49</v>
      </c>
      <c r="C174" s="25">
        <v>9</v>
      </c>
      <c r="D174" s="22">
        <v>10.3</v>
      </c>
      <c r="E174" s="22">
        <v>11.9</v>
      </c>
      <c r="J174" s="17">
        <f t="shared" si="10"/>
        <v>25</v>
      </c>
      <c r="K174" s="18">
        <v>6</v>
      </c>
      <c r="L174" s="18">
        <v>7.0833333333333304</v>
      </c>
      <c r="M174" s="18">
        <v>8.125</v>
      </c>
      <c r="N174" s="18">
        <v>10.125</v>
      </c>
      <c r="O174" s="18">
        <v>11.6666666666667</v>
      </c>
      <c r="Q174" s="75">
        <f t="shared" si="11"/>
        <v>25</v>
      </c>
      <c r="R174" s="74">
        <v>11.0833333333333</v>
      </c>
      <c r="S174" s="74">
        <v>13.0833333333333</v>
      </c>
      <c r="T174" s="74">
        <v>15.0833333333333</v>
      </c>
      <c r="U174" s="74">
        <v>16.625</v>
      </c>
      <c r="V174" s="74">
        <v>19.1666666666667</v>
      </c>
    </row>
    <row r="175" spans="2:22" x14ac:dyDescent="0.2">
      <c r="B175" s="21">
        <v>50</v>
      </c>
      <c r="C175" s="25">
        <v>9.1</v>
      </c>
      <c r="D175" s="22">
        <v>10.4</v>
      </c>
      <c r="E175" s="22">
        <v>12</v>
      </c>
      <c r="J175" s="17">
        <f t="shared" si="10"/>
        <v>26</v>
      </c>
      <c r="K175" s="18">
        <v>6</v>
      </c>
      <c r="L175" s="18">
        <v>7.1666666666666696</v>
      </c>
      <c r="M175" s="18">
        <v>8.25</v>
      </c>
      <c r="N175" s="18">
        <v>10.25</v>
      </c>
      <c r="O175" s="18">
        <v>11.8333333333333</v>
      </c>
      <c r="Q175" s="75">
        <f t="shared" si="11"/>
        <v>26</v>
      </c>
      <c r="R175" s="74">
        <v>11.1666666666667</v>
      </c>
      <c r="S175" s="74">
        <v>13.1666666666667</v>
      </c>
      <c r="T175" s="74">
        <v>15.1666666666667</v>
      </c>
      <c r="U175" s="74">
        <v>16.75</v>
      </c>
      <c r="V175" s="74">
        <v>19.3333333333333</v>
      </c>
    </row>
    <row r="176" spans="2:22" x14ac:dyDescent="0.2">
      <c r="B176" s="21">
        <v>51</v>
      </c>
      <c r="C176" s="25">
        <v>9.1</v>
      </c>
      <c r="D176" s="22">
        <v>10.4</v>
      </c>
      <c r="E176" s="22">
        <v>12.1</v>
      </c>
      <c r="J176" s="17">
        <f t="shared" si="10"/>
        <v>27</v>
      </c>
      <c r="K176" s="18">
        <v>6</v>
      </c>
      <c r="L176" s="18">
        <v>7.25</v>
      </c>
      <c r="M176" s="18">
        <v>8.375</v>
      </c>
      <c r="N176" s="18">
        <v>10.375</v>
      </c>
      <c r="O176" s="18">
        <v>12</v>
      </c>
      <c r="Q176" s="75">
        <f t="shared" si="11"/>
        <v>27</v>
      </c>
      <c r="R176" s="74">
        <v>11.25</v>
      </c>
      <c r="S176" s="74">
        <v>13.25</v>
      </c>
      <c r="T176" s="74">
        <v>15.25</v>
      </c>
      <c r="U176" s="74">
        <v>16.875</v>
      </c>
      <c r="V176" s="74">
        <v>19.5</v>
      </c>
    </row>
    <row r="177" spans="2:22" x14ac:dyDescent="0.2">
      <c r="B177" s="21">
        <v>52</v>
      </c>
      <c r="C177" s="25">
        <v>9.1999999999999993</v>
      </c>
      <c r="D177" s="22">
        <v>10.5</v>
      </c>
      <c r="E177" s="22">
        <v>12.2</v>
      </c>
      <c r="J177" s="17">
        <f t="shared" si="10"/>
        <v>28</v>
      </c>
      <c r="K177" s="18">
        <v>6</v>
      </c>
      <c r="L177" s="18">
        <v>7.3333333333333304</v>
      </c>
      <c r="M177" s="18">
        <v>8.5</v>
      </c>
      <c r="N177" s="18">
        <v>10.5</v>
      </c>
      <c r="O177" s="18">
        <v>12.1666666666667</v>
      </c>
      <c r="Q177" s="75">
        <f t="shared" si="11"/>
        <v>28</v>
      </c>
      <c r="R177" s="74">
        <v>11.3333333333333</v>
      </c>
      <c r="S177" s="74">
        <v>13.3333333333333</v>
      </c>
      <c r="T177" s="74">
        <v>15.3333333333333</v>
      </c>
      <c r="U177" s="74">
        <v>17</v>
      </c>
      <c r="V177" s="74">
        <v>19.6666666666667</v>
      </c>
    </row>
    <row r="178" spans="2:22" x14ac:dyDescent="0.2">
      <c r="B178" s="21">
        <v>53</v>
      </c>
      <c r="C178" s="25">
        <v>9.1999999999999993</v>
      </c>
      <c r="D178" s="22">
        <v>10.6</v>
      </c>
      <c r="E178" s="22">
        <v>12.3</v>
      </c>
      <c r="J178" s="17">
        <f t="shared" si="10"/>
        <v>29</v>
      </c>
      <c r="K178" s="18">
        <v>6</v>
      </c>
      <c r="L178" s="18">
        <v>7.4166666666666696</v>
      </c>
      <c r="M178" s="18">
        <v>8.625</v>
      </c>
      <c r="N178" s="18">
        <v>10.625</v>
      </c>
      <c r="O178" s="18">
        <v>12.3333333333333</v>
      </c>
      <c r="Q178" s="75">
        <f t="shared" si="11"/>
        <v>29</v>
      </c>
      <c r="R178" s="74">
        <v>11.4166666666667</v>
      </c>
      <c r="S178" s="74">
        <v>13.4166666666667</v>
      </c>
      <c r="T178" s="74">
        <v>15.4166666666667</v>
      </c>
      <c r="U178" s="74">
        <v>17.125</v>
      </c>
      <c r="V178" s="74">
        <v>19.8333333333333</v>
      </c>
    </row>
    <row r="179" spans="2:22" x14ac:dyDescent="0.2">
      <c r="B179" s="23">
        <v>54</v>
      </c>
      <c r="C179" s="26">
        <v>9.3000000000000007</v>
      </c>
      <c r="D179" s="24">
        <v>10.7</v>
      </c>
      <c r="E179" s="24">
        <v>12.4</v>
      </c>
      <c r="J179" s="17">
        <f t="shared" si="10"/>
        <v>30</v>
      </c>
      <c r="K179" s="18">
        <v>6</v>
      </c>
      <c r="L179" s="18">
        <v>7.5</v>
      </c>
      <c r="M179" s="18">
        <v>8.75</v>
      </c>
      <c r="N179" s="18">
        <v>10.75</v>
      </c>
      <c r="O179" s="18">
        <v>12.5</v>
      </c>
      <c r="Q179" s="75">
        <f t="shared" si="11"/>
        <v>30</v>
      </c>
      <c r="R179" s="74">
        <v>11.5</v>
      </c>
      <c r="S179" s="74">
        <v>13.5</v>
      </c>
      <c r="T179" s="74">
        <v>15.5</v>
      </c>
      <c r="U179" s="74">
        <v>17.25</v>
      </c>
      <c r="V179" s="74">
        <v>20</v>
      </c>
    </row>
    <row r="180" spans="2:22" x14ac:dyDescent="0.2">
      <c r="B180" s="21">
        <v>55</v>
      </c>
      <c r="C180" s="25">
        <v>9.3000000000000007</v>
      </c>
      <c r="D180" s="22">
        <v>10.8</v>
      </c>
      <c r="E180" s="22">
        <v>12.5</v>
      </c>
      <c r="J180" s="17">
        <f t="shared" si="10"/>
        <v>31</v>
      </c>
      <c r="K180" s="18">
        <v>6</v>
      </c>
      <c r="L180" s="18">
        <v>7.5833333333333304</v>
      </c>
      <c r="M180" s="18">
        <v>8.875</v>
      </c>
      <c r="N180" s="18">
        <v>10.875</v>
      </c>
      <c r="O180" s="18">
        <v>12.6666666666667</v>
      </c>
      <c r="Q180" s="75">
        <f t="shared" si="11"/>
        <v>31</v>
      </c>
      <c r="R180" s="74">
        <v>11.5833333333333</v>
      </c>
      <c r="S180" s="74">
        <v>13.5833333333333</v>
      </c>
      <c r="T180" s="74">
        <v>15.5833333333333</v>
      </c>
      <c r="U180" s="74">
        <v>17.375</v>
      </c>
      <c r="V180" s="74">
        <v>20.1666666666667</v>
      </c>
    </row>
    <row r="181" spans="2:22" x14ac:dyDescent="0.2">
      <c r="B181" s="21">
        <v>56</v>
      </c>
      <c r="C181" s="25">
        <v>9.3000000000000007</v>
      </c>
      <c r="D181" s="22">
        <v>10.8</v>
      </c>
      <c r="E181" s="22">
        <v>12.5</v>
      </c>
      <c r="J181" s="17">
        <f t="shared" si="10"/>
        <v>32</v>
      </c>
      <c r="K181" s="18">
        <v>6</v>
      </c>
      <c r="L181" s="18">
        <v>7.6666666666666696</v>
      </c>
      <c r="M181" s="18">
        <v>9</v>
      </c>
      <c r="N181" s="18">
        <v>11</v>
      </c>
      <c r="O181" s="18">
        <v>12.8333333333333</v>
      </c>
      <c r="Q181" s="75">
        <f t="shared" si="11"/>
        <v>32</v>
      </c>
      <c r="R181" s="74">
        <v>11.6666666666667</v>
      </c>
      <c r="S181" s="74">
        <v>13.6666666666667</v>
      </c>
      <c r="T181" s="74">
        <v>15.6666666666667</v>
      </c>
      <c r="U181" s="74">
        <v>17.5</v>
      </c>
      <c r="V181" s="74">
        <v>20.3333333333333</v>
      </c>
    </row>
    <row r="182" spans="2:22" x14ac:dyDescent="0.2">
      <c r="B182" s="21">
        <v>57</v>
      </c>
      <c r="C182" s="25">
        <v>9.3000000000000007</v>
      </c>
      <c r="D182" s="22">
        <v>10.9</v>
      </c>
      <c r="E182" s="22">
        <v>12.6</v>
      </c>
      <c r="J182" s="17">
        <f t="shared" si="10"/>
        <v>33</v>
      </c>
      <c r="K182" s="18">
        <v>6</v>
      </c>
      <c r="L182" s="18">
        <v>7.75</v>
      </c>
      <c r="M182" s="18">
        <v>9.125</v>
      </c>
      <c r="N182" s="18">
        <v>11.125</v>
      </c>
      <c r="O182" s="18">
        <v>13</v>
      </c>
      <c r="Q182" s="75">
        <f t="shared" si="11"/>
        <v>33</v>
      </c>
      <c r="R182" s="74">
        <v>11.75</v>
      </c>
      <c r="S182" s="74">
        <v>13.75</v>
      </c>
      <c r="T182" s="74">
        <v>15.75</v>
      </c>
      <c r="U182" s="74">
        <v>17.625</v>
      </c>
      <c r="V182" s="74">
        <v>20.5</v>
      </c>
    </row>
    <row r="183" spans="2:22" x14ac:dyDescent="0.2">
      <c r="B183" s="21">
        <v>58</v>
      </c>
      <c r="C183" s="25">
        <v>9.4</v>
      </c>
      <c r="D183" s="22">
        <v>10.9</v>
      </c>
      <c r="E183" s="22">
        <v>12.7</v>
      </c>
      <c r="J183" s="17">
        <f t="shared" ref="J183:J214" si="12">J182+1</f>
        <v>34</v>
      </c>
      <c r="K183" s="18">
        <v>6</v>
      </c>
      <c r="L183" s="18">
        <v>7.8333333333333304</v>
      </c>
      <c r="M183" s="18">
        <v>9.25</v>
      </c>
      <c r="N183" s="18">
        <v>11.25</v>
      </c>
      <c r="O183" s="18">
        <v>13.1666666666667</v>
      </c>
      <c r="Q183" s="75">
        <f t="shared" si="11"/>
        <v>34</v>
      </c>
      <c r="R183" s="74">
        <v>11.8333333333333</v>
      </c>
      <c r="S183" s="74">
        <v>13.8333333333333</v>
      </c>
      <c r="T183" s="74">
        <v>15.8333333333333</v>
      </c>
      <c r="U183" s="74">
        <v>17.75</v>
      </c>
      <c r="V183" s="74">
        <v>20.6666666666667</v>
      </c>
    </row>
    <row r="184" spans="2:22" x14ac:dyDescent="0.2">
      <c r="B184" s="21">
        <v>59</v>
      </c>
      <c r="C184" s="25">
        <v>9.4</v>
      </c>
      <c r="D184" s="22">
        <v>11</v>
      </c>
      <c r="E184" s="22">
        <v>12.8</v>
      </c>
      <c r="J184" s="17">
        <f t="shared" si="12"/>
        <v>35</v>
      </c>
      <c r="K184" s="18">
        <v>6</v>
      </c>
      <c r="L184" s="18">
        <v>7.9166666666666696</v>
      </c>
      <c r="M184" s="18">
        <v>9.375</v>
      </c>
      <c r="N184" s="18">
        <v>11.375</v>
      </c>
      <c r="O184" s="18">
        <v>13.3333333333333</v>
      </c>
      <c r="Q184" s="75">
        <f t="shared" si="11"/>
        <v>35</v>
      </c>
      <c r="R184" s="74">
        <v>11.9166666666667</v>
      </c>
      <c r="S184" s="74">
        <v>13.9166666666667</v>
      </c>
      <c r="T184" s="74">
        <v>15.9166666666667</v>
      </c>
      <c r="U184" s="74">
        <v>17.875</v>
      </c>
      <c r="V184" s="74">
        <v>20.8333333333333</v>
      </c>
    </row>
    <row r="185" spans="2:22" x14ac:dyDescent="0.2">
      <c r="B185" s="23">
        <v>60</v>
      </c>
      <c r="C185" s="26">
        <v>9.5</v>
      </c>
      <c r="D185" s="24">
        <v>11</v>
      </c>
      <c r="E185" s="24">
        <v>12.9</v>
      </c>
      <c r="J185" s="17">
        <f t="shared" si="12"/>
        <v>36</v>
      </c>
      <c r="K185" s="18">
        <v>6</v>
      </c>
      <c r="L185" s="18">
        <v>8</v>
      </c>
      <c r="M185" s="18">
        <v>9.5</v>
      </c>
      <c r="N185" s="18">
        <v>11.5</v>
      </c>
      <c r="O185" s="18">
        <v>13.5</v>
      </c>
      <c r="Q185" s="75">
        <f t="shared" si="11"/>
        <v>36</v>
      </c>
      <c r="R185" s="74">
        <v>12</v>
      </c>
      <c r="S185" s="74">
        <v>14</v>
      </c>
      <c r="T185" s="74">
        <v>16</v>
      </c>
      <c r="U185" s="74">
        <v>18</v>
      </c>
      <c r="V185" s="74">
        <v>21</v>
      </c>
    </row>
    <row r="186" spans="2:22" x14ac:dyDescent="0.2">
      <c r="B186" s="21">
        <v>61</v>
      </c>
      <c r="C186" s="25">
        <v>9.5</v>
      </c>
      <c r="D186" s="22">
        <v>11.1</v>
      </c>
      <c r="E186" s="22">
        <v>12.9</v>
      </c>
      <c r="J186" s="17">
        <f t="shared" si="12"/>
        <v>37</v>
      </c>
      <c r="K186" s="18">
        <v>6</v>
      </c>
      <c r="L186" s="18">
        <v>8</v>
      </c>
      <c r="M186" s="18">
        <v>9.625</v>
      </c>
      <c r="N186" s="18">
        <v>11.625</v>
      </c>
      <c r="O186" s="18">
        <v>13.625</v>
      </c>
      <c r="Q186" s="75">
        <f t="shared" si="11"/>
        <v>37</v>
      </c>
      <c r="R186" s="74">
        <v>12.0833333333333</v>
      </c>
      <c r="S186" s="74">
        <v>14.0833333333333</v>
      </c>
      <c r="T186" s="74">
        <v>16.0833333333333</v>
      </c>
      <c r="U186" s="74">
        <v>18.0833333333333</v>
      </c>
      <c r="V186" s="74">
        <v>21.0833333333333</v>
      </c>
    </row>
    <row r="187" spans="2:22" x14ac:dyDescent="0.2">
      <c r="B187" s="21">
        <v>62</v>
      </c>
      <c r="C187" s="25">
        <v>9.5</v>
      </c>
      <c r="D187" s="22">
        <v>11.1</v>
      </c>
      <c r="E187" s="22">
        <v>12.9</v>
      </c>
      <c r="J187" s="17">
        <f t="shared" si="12"/>
        <v>38</v>
      </c>
      <c r="K187" s="18">
        <v>6</v>
      </c>
      <c r="L187" s="18">
        <v>8</v>
      </c>
      <c r="M187" s="18">
        <v>9.75</v>
      </c>
      <c r="N187" s="18">
        <v>11.75</v>
      </c>
      <c r="O187" s="18">
        <v>13.75</v>
      </c>
      <c r="Q187" s="75">
        <f t="shared" si="11"/>
        <v>38</v>
      </c>
      <c r="R187" s="74">
        <v>12.1666666666667</v>
      </c>
      <c r="S187" s="74">
        <v>14.1666666666667</v>
      </c>
      <c r="T187" s="74">
        <v>16.1666666666667</v>
      </c>
      <c r="U187" s="74">
        <v>18.1666666666667</v>
      </c>
      <c r="V187" s="74">
        <v>21.1666666666667</v>
      </c>
    </row>
    <row r="188" spans="2:22" x14ac:dyDescent="0.2">
      <c r="B188" s="21">
        <v>63</v>
      </c>
      <c r="C188" s="25">
        <v>9.5</v>
      </c>
      <c r="D188" s="22">
        <v>11.2</v>
      </c>
      <c r="E188" s="22">
        <v>12.9</v>
      </c>
      <c r="J188" s="17">
        <f t="shared" si="12"/>
        <v>39</v>
      </c>
      <c r="K188" s="18">
        <v>6</v>
      </c>
      <c r="L188" s="18">
        <v>8</v>
      </c>
      <c r="M188" s="18">
        <v>9.875</v>
      </c>
      <c r="N188" s="18">
        <v>11.875</v>
      </c>
      <c r="O188" s="18">
        <v>13.875</v>
      </c>
      <c r="Q188" s="75">
        <f t="shared" si="11"/>
        <v>39</v>
      </c>
      <c r="R188" s="74">
        <v>12.25</v>
      </c>
      <c r="S188" s="74">
        <v>14.25</v>
      </c>
      <c r="T188" s="74">
        <v>16.25</v>
      </c>
      <c r="U188" s="74">
        <v>18.25</v>
      </c>
      <c r="V188" s="74">
        <v>21.25</v>
      </c>
    </row>
    <row r="189" spans="2:22" x14ac:dyDescent="0.2">
      <c r="B189" s="21">
        <v>64</v>
      </c>
      <c r="C189" s="25">
        <v>9.6</v>
      </c>
      <c r="D189" s="22">
        <v>11.2</v>
      </c>
      <c r="E189" s="22">
        <v>13</v>
      </c>
      <c r="J189" s="17">
        <f t="shared" si="12"/>
        <v>40</v>
      </c>
      <c r="K189" s="18">
        <v>6</v>
      </c>
      <c r="L189" s="18">
        <v>8</v>
      </c>
      <c r="M189" s="18">
        <v>10</v>
      </c>
      <c r="N189" s="18">
        <v>12</v>
      </c>
      <c r="O189" s="18">
        <v>14</v>
      </c>
      <c r="Q189" s="75">
        <f t="shared" si="11"/>
        <v>40</v>
      </c>
      <c r="R189" s="74">
        <v>12.3333333333333</v>
      </c>
      <c r="S189" s="74">
        <v>14.3333333333333</v>
      </c>
      <c r="T189" s="74">
        <v>16.3333333333333</v>
      </c>
      <c r="U189" s="74">
        <v>18.3333333333333</v>
      </c>
      <c r="V189" s="74">
        <v>21.3333333333333</v>
      </c>
    </row>
    <row r="190" spans="2:22" x14ac:dyDescent="0.2">
      <c r="B190" s="21">
        <v>65</v>
      </c>
      <c r="C190" s="25">
        <v>9.6</v>
      </c>
      <c r="D190" s="22">
        <v>11.3</v>
      </c>
      <c r="E190" s="22">
        <v>13</v>
      </c>
      <c r="J190" s="17">
        <f t="shared" si="12"/>
        <v>41</v>
      </c>
      <c r="K190" s="18">
        <v>6</v>
      </c>
      <c r="L190" s="18">
        <v>8</v>
      </c>
      <c r="M190" s="18">
        <v>10.125</v>
      </c>
      <c r="N190" s="18">
        <v>12.125</v>
      </c>
      <c r="O190" s="18">
        <v>14.125</v>
      </c>
      <c r="Q190" s="75">
        <f t="shared" si="11"/>
        <v>41</v>
      </c>
      <c r="R190" s="74">
        <v>12.4166666666667</v>
      </c>
      <c r="S190" s="74">
        <v>14.4166666666667</v>
      </c>
      <c r="T190" s="74">
        <v>16.4166666666667</v>
      </c>
      <c r="U190" s="74">
        <v>18.4166666666667</v>
      </c>
      <c r="V190" s="74">
        <v>21.4166666666667</v>
      </c>
    </row>
    <row r="191" spans="2:22" x14ac:dyDescent="0.2">
      <c r="B191" s="23">
        <v>66</v>
      </c>
      <c r="C191" s="26">
        <v>9.6</v>
      </c>
      <c r="D191" s="24">
        <v>11.3</v>
      </c>
      <c r="E191" s="24">
        <v>13</v>
      </c>
      <c r="J191" s="17">
        <f t="shared" si="12"/>
        <v>42</v>
      </c>
      <c r="K191" s="18">
        <v>6</v>
      </c>
      <c r="L191" s="18">
        <v>8</v>
      </c>
      <c r="M191" s="18">
        <v>10.25</v>
      </c>
      <c r="N191" s="18">
        <v>12.25</v>
      </c>
      <c r="O191" s="18">
        <v>14.25</v>
      </c>
      <c r="Q191" s="75">
        <f t="shared" si="11"/>
        <v>42</v>
      </c>
      <c r="R191" s="74">
        <v>12.5</v>
      </c>
      <c r="S191" s="74">
        <v>14.5</v>
      </c>
      <c r="T191" s="74">
        <v>16.5</v>
      </c>
      <c r="U191" s="74">
        <v>18.5</v>
      </c>
      <c r="V191" s="74">
        <v>21.5</v>
      </c>
    </row>
    <row r="192" spans="2:22" x14ac:dyDescent="0.2">
      <c r="B192" s="21">
        <v>67</v>
      </c>
      <c r="C192" s="25">
        <v>9.6</v>
      </c>
      <c r="D192" s="22">
        <v>11.4</v>
      </c>
      <c r="E192" s="22">
        <v>13</v>
      </c>
      <c r="J192" s="17">
        <f t="shared" si="12"/>
        <v>43</v>
      </c>
      <c r="K192" s="18">
        <v>6</v>
      </c>
      <c r="L192" s="18">
        <v>8</v>
      </c>
      <c r="M192" s="18">
        <v>10.375</v>
      </c>
      <c r="N192" s="18">
        <v>12.375</v>
      </c>
      <c r="O192" s="18">
        <v>14.375</v>
      </c>
      <c r="Q192" s="75">
        <f t="shared" si="11"/>
        <v>43</v>
      </c>
      <c r="R192" s="74">
        <v>12.5833333333333</v>
      </c>
      <c r="S192" s="74">
        <v>14.5833333333333</v>
      </c>
      <c r="T192" s="74">
        <v>16.5833333333333</v>
      </c>
      <c r="U192" s="74">
        <v>18.5833333333333</v>
      </c>
      <c r="V192" s="74">
        <v>21.5833333333333</v>
      </c>
    </row>
    <row r="193" spans="2:22" x14ac:dyDescent="0.2">
      <c r="B193" s="21">
        <v>68</v>
      </c>
      <c r="C193" s="25">
        <v>9.6</v>
      </c>
      <c r="D193" s="22">
        <v>11.4</v>
      </c>
      <c r="E193" s="22">
        <v>13.1</v>
      </c>
      <c r="J193" s="17">
        <f t="shared" si="12"/>
        <v>44</v>
      </c>
      <c r="K193" s="18">
        <v>6</v>
      </c>
      <c r="L193" s="18">
        <v>8</v>
      </c>
      <c r="M193" s="18">
        <v>10.5</v>
      </c>
      <c r="N193" s="18">
        <v>12.5</v>
      </c>
      <c r="O193" s="18">
        <v>14.5</v>
      </c>
      <c r="Q193" s="75">
        <f t="shared" si="11"/>
        <v>44</v>
      </c>
      <c r="R193" s="74">
        <v>12.6666666666667</v>
      </c>
      <c r="S193" s="74">
        <v>14.6666666666667</v>
      </c>
      <c r="T193" s="74">
        <v>16.6666666666667</v>
      </c>
      <c r="U193" s="74">
        <v>18.6666666666667</v>
      </c>
      <c r="V193" s="74">
        <v>21.6666666666667</v>
      </c>
    </row>
    <row r="194" spans="2:22" x14ac:dyDescent="0.2">
      <c r="B194" s="21">
        <v>69</v>
      </c>
      <c r="C194" s="25">
        <v>9.6999999999999993</v>
      </c>
      <c r="D194" s="22">
        <v>11.5</v>
      </c>
      <c r="E194" s="22">
        <v>13.1</v>
      </c>
      <c r="J194" s="17">
        <f t="shared" si="12"/>
        <v>45</v>
      </c>
      <c r="K194" s="18">
        <v>6</v>
      </c>
      <c r="L194" s="18">
        <v>8</v>
      </c>
      <c r="M194" s="18">
        <v>10.625</v>
      </c>
      <c r="N194" s="18">
        <v>12.625</v>
      </c>
      <c r="O194" s="18">
        <v>14.625</v>
      </c>
      <c r="Q194" s="75">
        <f t="shared" si="11"/>
        <v>45</v>
      </c>
      <c r="R194" s="74">
        <v>12.75</v>
      </c>
      <c r="S194" s="74">
        <v>14.75</v>
      </c>
      <c r="T194" s="74">
        <v>16.75</v>
      </c>
      <c r="U194" s="74">
        <v>18.75</v>
      </c>
      <c r="V194" s="74">
        <v>21.75</v>
      </c>
    </row>
    <row r="195" spans="2:22" x14ac:dyDescent="0.2">
      <c r="B195" s="21">
        <v>70</v>
      </c>
      <c r="C195" s="25">
        <v>9.8000000000000007</v>
      </c>
      <c r="D195" s="22">
        <v>11.6</v>
      </c>
      <c r="E195" s="22">
        <v>13.1</v>
      </c>
      <c r="J195" s="17">
        <f t="shared" si="12"/>
        <v>46</v>
      </c>
      <c r="K195" s="18">
        <v>6</v>
      </c>
      <c r="L195" s="18">
        <v>8</v>
      </c>
      <c r="M195" s="18">
        <v>10.75</v>
      </c>
      <c r="N195" s="18">
        <v>12.75</v>
      </c>
      <c r="O195" s="18">
        <v>14.75</v>
      </c>
      <c r="Q195" s="75">
        <f t="shared" si="11"/>
        <v>46</v>
      </c>
      <c r="R195" s="74">
        <v>12.8333333333333</v>
      </c>
      <c r="S195" s="74">
        <v>14.8333333333333</v>
      </c>
      <c r="T195" s="74">
        <v>16.8333333333333</v>
      </c>
      <c r="U195" s="74">
        <v>18.8333333333333</v>
      </c>
      <c r="V195" s="74">
        <v>21.8333333333333</v>
      </c>
    </row>
    <row r="196" spans="2:22" x14ac:dyDescent="0.2">
      <c r="B196" s="21">
        <v>71</v>
      </c>
      <c r="C196" s="25">
        <v>9.8000000000000007</v>
      </c>
      <c r="D196" s="22">
        <v>11.7</v>
      </c>
      <c r="E196" s="22">
        <v>13.2</v>
      </c>
      <c r="J196" s="17">
        <f t="shared" si="12"/>
        <v>47</v>
      </c>
      <c r="K196" s="18">
        <v>6</v>
      </c>
      <c r="L196" s="18">
        <v>8</v>
      </c>
      <c r="M196" s="18">
        <v>10.875</v>
      </c>
      <c r="N196" s="18">
        <v>12.875</v>
      </c>
      <c r="O196" s="18">
        <v>14.875</v>
      </c>
      <c r="Q196" s="75">
        <f t="shared" si="11"/>
        <v>47</v>
      </c>
      <c r="R196" s="74">
        <v>12.9166666666667</v>
      </c>
      <c r="S196" s="74">
        <v>14.9166666666667</v>
      </c>
      <c r="T196" s="74">
        <v>16.9166666666667</v>
      </c>
      <c r="U196" s="74">
        <v>18.9166666666667</v>
      </c>
      <c r="V196" s="74">
        <v>21.9166666666667</v>
      </c>
    </row>
    <row r="197" spans="2:22" x14ac:dyDescent="0.2">
      <c r="B197" s="23">
        <v>72</v>
      </c>
      <c r="C197" s="26">
        <v>9.9</v>
      </c>
      <c r="D197" s="24">
        <v>11.7</v>
      </c>
      <c r="E197" s="24">
        <v>13.2</v>
      </c>
      <c r="J197" s="17">
        <f t="shared" si="12"/>
        <v>48</v>
      </c>
      <c r="K197" s="18">
        <v>6</v>
      </c>
      <c r="L197" s="18">
        <v>8</v>
      </c>
      <c r="M197" s="18">
        <v>11</v>
      </c>
      <c r="N197" s="18">
        <v>13</v>
      </c>
      <c r="O197" s="18">
        <v>15</v>
      </c>
      <c r="Q197" s="75">
        <f t="shared" si="11"/>
        <v>48</v>
      </c>
      <c r="R197" s="74">
        <v>13</v>
      </c>
      <c r="S197" s="74">
        <v>15</v>
      </c>
      <c r="T197" s="74">
        <v>17</v>
      </c>
      <c r="U197" s="74">
        <v>19</v>
      </c>
      <c r="V197" s="74">
        <v>22</v>
      </c>
    </row>
    <row r="198" spans="2:22" x14ac:dyDescent="0.2">
      <c r="B198" s="21">
        <v>73</v>
      </c>
      <c r="C198" s="25">
        <v>10</v>
      </c>
      <c r="D198" s="22">
        <v>11.7</v>
      </c>
      <c r="E198" s="22">
        <v>13.2</v>
      </c>
      <c r="J198" s="17">
        <f t="shared" si="12"/>
        <v>49</v>
      </c>
      <c r="K198" s="18">
        <v>6.0833333333333304</v>
      </c>
      <c r="L198" s="18">
        <v>8.0833333333333304</v>
      </c>
      <c r="M198" s="18">
        <v>11.125</v>
      </c>
      <c r="N198" s="18">
        <v>13.125</v>
      </c>
      <c r="O198" s="18">
        <v>15.125</v>
      </c>
      <c r="Q198" s="75">
        <f t="shared" si="11"/>
        <v>49</v>
      </c>
      <c r="R198" s="74">
        <v>13.0833333333333</v>
      </c>
      <c r="S198" s="74">
        <v>15.0833333333333</v>
      </c>
      <c r="T198" s="74">
        <v>17.0833333333333</v>
      </c>
      <c r="U198" s="74">
        <v>19.0833333333333</v>
      </c>
      <c r="V198" s="74">
        <v>22.0833333333333</v>
      </c>
    </row>
    <row r="199" spans="2:22" x14ac:dyDescent="0.2">
      <c r="B199" s="21">
        <v>74</v>
      </c>
      <c r="C199" s="25">
        <v>10</v>
      </c>
      <c r="D199" s="22">
        <v>11.8</v>
      </c>
      <c r="E199" s="22">
        <v>13.3</v>
      </c>
      <c r="J199" s="17">
        <f t="shared" si="12"/>
        <v>50</v>
      </c>
      <c r="K199" s="18">
        <v>6.1666666666666696</v>
      </c>
      <c r="L199" s="18">
        <v>8.1666666666666696</v>
      </c>
      <c r="M199" s="18">
        <v>11.25</v>
      </c>
      <c r="N199" s="18">
        <v>13.25</v>
      </c>
      <c r="O199" s="18">
        <v>15.25</v>
      </c>
      <c r="Q199" s="75">
        <f t="shared" si="11"/>
        <v>50</v>
      </c>
      <c r="R199" s="74">
        <v>13.1666666666667</v>
      </c>
      <c r="S199" s="74">
        <v>15.1666666666667</v>
      </c>
      <c r="T199" s="74">
        <v>17.1666666666667</v>
      </c>
      <c r="U199" s="74">
        <v>19.1666666666667</v>
      </c>
      <c r="V199" s="74">
        <v>22.1666666666667</v>
      </c>
    </row>
    <row r="200" spans="2:22" x14ac:dyDescent="0.2">
      <c r="B200" s="21">
        <v>75</v>
      </c>
      <c r="C200" s="25">
        <v>10.1</v>
      </c>
      <c r="D200" s="22">
        <v>11.8</v>
      </c>
      <c r="E200" s="22">
        <v>13.3</v>
      </c>
      <c r="J200" s="17">
        <f t="shared" si="12"/>
        <v>51</v>
      </c>
      <c r="K200" s="18">
        <v>6.25</v>
      </c>
      <c r="L200" s="18">
        <v>8.25</v>
      </c>
      <c r="M200" s="18">
        <v>11.375</v>
      </c>
      <c r="N200" s="18">
        <v>13.375</v>
      </c>
      <c r="O200" s="18">
        <v>15.375</v>
      </c>
      <c r="Q200" s="75">
        <f t="shared" si="11"/>
        <v>51</v>
      </c>
      <c r="R200" s="74">
        <v>13.25</v>
      </c>
      <c r="S200" s="74">
        <v>15.25</v>
      </c>
      <c r="T200" s="74">
        <v>17.25</v>
      </c>
      <c r="U200" s="74">
        <v>19.25</v>
      </c>
      <c r="V200" s="74">
        <v>22.25</v>
      </c>
    </row>
    <row r="201" spans="2:22" x14ac:dyDescent="0.2">
      <c r="B201" s="21">
        <v>76</v>
      </c>
      <c r="C201" s="25">
        <v>10.1</v>
      </c>
      <c r="D201" s="22">
        <v>11.8</v>
      </c>
      <c r="E201" s="22">
        <v>13.4</v>
      </c>
      <c r="J201" s="17">
        <f t="shared" si="12"/>
        <v>52</v>
      </c>
      <c r="K201" s="18">
        <v>6.3333333333333304</v>
      </c>
      <c r="L201" s="18">
        <v>8.3333333333333304</v>
      </c>
      <c r="M201" s="18">
        <v>11.5</v>
      </c>
      <c r="N201" s="18">
        <v>13.5</v>
      </c>
      <c r="O201" s="18">
        <v>15.5</v>
      </c>
      <c r="Q201" s="75">
        <f t="shared" si="11"/>
        <v>52</v>
      </c>
      <c r="R201" s="74">
        <v>13.3333333333333</v>
      </c>
      <c r="S201" s="74">
        <v>15.3333333333333</v>
      </c>
      <c r="T201" s="74">
        <v>17.3333333333333</v>
      </c>
      <c r="U201" s="74">
        <v>19.3333333333333</v>
      </c>
      <c r="V201" s="74">
        <v>22.3333333333333</v>
      </c>
    </row>
    <row r="202" spans="2:22" x14ac:dyDescent="0.2">
      <c r="B202" s="21">
        <v>77</v>
      </c>
      <c r="C202" s="25">
        <v>10.199999999999999</v>
      </c>
      <c r="D202" s="22">
        <v>11.9</v>
      </c>
      <c r="E202" s="22">
        <v>13.4</v>
      </c>
      <c r="J202" s="17">
        <f t="shared" si="12"/>
        <v>53</v>
      </c>
      <c r="K202" s="18">
        <v>6.4166666666666696</v>
      </c>
      <c r="L202" s="18">
        <v>8.4166666666666696</v>
      </c>
      <c r="M202" s="18">
        <v>11.625</v>
      </c>
      <c r="N202" s="18">
        <v>13.625</v>
      </c>
      <c r="O202" s="18">
        <v>15.625</v>
      </c>
      <c r="Q202" s="75">
        <f t="shared" si="11"/>
        <v>53</v>
      </c>
      <c r="R202" s="74">
        <v>13.4166666666667</v>
      </c>
      <c r="S202" s="74">
        <v>15.4166666666667</v>
      </c>
      <c r="T202" s="74">
        <v>17.4166666666667</v>
      </c>
      <c r="U202" s="74">
        <v>19.4166666666667</v>
      </c>
      <c r="V202" s="74">
        <v>22.4166666666667</v>
      </c>
    </row>
    <row r="203" spans="2:22" x14ac:dyDescent="0.2">
      <c r="B203" s="23">
        <v>78</v>
      </c>
      <c r="C203" s="26">
        <v>10.199999999999999</v>
      </c>
      <c r="D203" s="24">
        <v>11.9</v>
      </c>
      <c r="E203" s="24">
        <v>13.5</v>
      </c>
      <c r="J203" s="17">
        <f t="shared" si="12"/>
        <v>54</v>
      </c>
      <c r="K203" s="18">
        <v>6.5</v>
      </c>
      <c r="L203" s="18">
        <v>8.5</v>
      </c>
      <c r="M203" s="18">
        <v>11.75</v>
      </c>
      <c r="N203" s="18">
        <v>13.75</v>
      </c>
      <c r="O203" s="18">
        <v>15.75</v>
      </c>
      <c r="Q203" s="75">
        <f t="shared" si="11"/>
        <v>54</v>
      </c>
      <c r="R203" s="74">
        <v>13.5</v>
      </c>
      <c r="S203" s="74">
        <v>15.5</v>
      </c>
      <c r="T203" s="74">
        <v>17.5</v>
      </c>
      <c r="U203" s="74">
        <v>19.5</v>
      </c>
      <c r="V203" s="74">
        <v>22.5</v>
      </c>
    </row>
    <row r="204" spans="2:22" x14ac:dyDescent="0.2">
      <c r="B204" s="21">
        <v>79</v>
      </c>
      <c r="C204" s="25">
        <v>10.3</v>
      </c>
      <c r="D204" s="22">
        <v>12</v>
      </c>
      <c r="E204" s="22">
        <v>13.5</v>
      </c>
      <c r="J204" s="17">
        <f t="shared" si="12"/>
        <v>55</v>
      </c>
      <c r="K204" s="18">
        <v>6.5833333333333304</v>
      </c>
      <c r="L204" s="18">
        <v>8.5833333333333304</v>
      </c>
      <c r="M204" s="18">
        <v>11.875</v>
      </c>
      <c r="N204" s="18">
        <v>13.875</v>
      </c>
      <c r="O204" s="18">
        <v>15.875</v>
      </c>
      <c r="Q204" s="75">
        <f t="shared" si="11"/>
        <v>55</v>
      </c>
      <c r="R204" s="74">
        <v>13.5833333333333</v>
      </c>
      <c r="S204" s="74">
        <v>15.5833333333333</v>
      </c>
      <c r="T204" s="74">
        <v>17.5833333333333</v>
      </c>
      <c r="U204" s="74">
        <v>19.5833333333333</v>
      </c>
      <c r="V204" s="74">
        <v>22.5833333333333</v>
      </c>
    </row>
    <row r="205" spans="2:22" x14ac:dyDescent="0.2">
      <c r="B205" s="21">
        <v>80</v>
      </c>
      <c r="C205" s="25">
        <v>10.3</v>
      </c>
      <c r="D205" s="22">
        <v>12.1</v>
      </c>
      <c r="E205" s="22">
        <v>13.6</v>
      </c>
      <c r="J205" s="17">
        <f t="shared" si="12"/>
        <v>56</v>
      </c>
      <c r="K205" s="18">
        <v>6.6666666666666696</v>
      </c>
      <c r="L205" s="18">
        <v>8.6666666666666696</v>
      </c>
      <c r="M205" s="18">
        <v>12</v>
      </c>
      <c r="N205" s="18">
        <v>14</v>
      </c>
      <c r="O205" s="18">
        <v>16</v>
      </c>
      <c r="Q205" s="75">
        <f t="shared" si="11"/>
        <v>56</v>
      </c>
      <c r="R205" s="74">
        <v>13.6666666666667</v>
      </c>
      <c r="S205" s="74">
        <v>15.6666666666667</v>
      </c>
      <c r="T205" s="74">
        <v>17.6666666666667</v>
      </c>
      <c r="U205" s="74">
        <v>19.6666666666667</v>
      </c>
      <c r="V205" s="74">
        <v>22.6666666666667</v>
      </c>
    </row>
    <row r="206" spans="2:22" x14ac:dyDescent="0.2">
      <c r="B206" s="21">
        <v>81</v>
      </c>
      <c r="C206" s="25">
        <v>10.4</v>
      </c>
      <c r="D206" s="22">
        <v>12.1</v>
      </c>
      <c r="E206" s="22">
        <v>13.7</v>
      </c>
      <c r="J206" s="17">
        <f t="shared" si="12"/>
        <v>57</v>
      </c>
      <c r="K206" s="18">
        <v>6.75</v>
      </c>
      <c r="L206" s="18">
        <v>8.75</v>
      </c>
      <c r="M206" s="18">
        <v>12.125</v>
      </c>
      <c r="N206" s="18">
        <v>14.125</v>
      </c>
      <c r="O206" s="18">
        <v>16.125</v>
      </c>
      <c r="Q206" s="75">
        <f t="shared" si="11"/>
        <v>57</v>
      </c>
      <c r="R206" s="74">
        <v>13.75</v>
      </c>
      <c r="S206" s="74">
        <v>15.75</v>
      </c>
      <c r="T206" s="74">
        <v>17.75</v>
      </c>
      <c r="U206" s="74">
        <v>19.75</v>
      </c>
      <c r="V206" s="74">
        <v>22.75</v>
      </c>
    </row>
    <row r="207" spans="2:22" x14ac:dyDescent="0.2">
      <c r="B207" s="21">
        <v>82</v>
      </c>
      <c r="C207" s="25">
        <v>10.5</v>
      </c>
      <c r="D207" s="22">
        <v>12.2</v>
      </c>
      <c r="E207" s="22">
        <v>13.7</v>
      </c>
      <c r="J207" s="17">
        <f t="shared" si="12"/>
        <v>58</v>
      </c>
      <c r="K207" s="18">
        <v>6.8333333333333304</v>
      </c>
      <c r="L207" s="18">
        <v>8.8333333333333304</v>
      </c>
      <c r="M207" s="18">
        <v>12.25</v>
      </c>
      <c r="N207" s="18">
        <v>14.25</v>
      </c>
      <c r="O207" s="18">
        <v>16.25</v>
      </c>
      <c r="Q207" s="75">
        <f t="shared" si="11"/>
        <v>58</v>
      </c>
      <c r="R207" s="74">
        <v>13.8333333333333</v>
      </c>
      <c r="S207" s="74">
        <v>15.8333333333333</v>
      </c>
      <c r="T207" s="74">
        <v>17.8333333333333</v>
      </c>
      <c r="U207" s="74">
        <v>19.8333333333333</v>
      </c>
      <c r="V207" s="74">
        <v>22.8333333333333</v>
      </c>
    </row>
    <row r="208" spans="2:22" x14ac:dyDescent="0.2">
      <c r="B208" s="21">
        <v>83</v>
      </c>
      <c r="C208" s="25">
        <v>10.6</v>
      </c>
      <c r="D208" s="22">
        <v>12.3</v>
      </c>
      <c r="E208" s="22">
        <v>13.8</v>
      </c>
      <c r="J208" s="17">
        <f t="shared" si="12"/>
        <v>59</v>
      </c>
      <c r="K208" s="18">
        <v>6.9166666666666696</v>
      </c>
      <c r="L208" s="18">
        <v>8.9166666666666696</v>
      </c>
      <c r="M208" s="18">
        <v>12.375</v>
      </c>
      <c r="N208" s="18">
        <v>14.375</v>
      </c>
      <c r="O208" s="18">
        <v>16.375</v>
      </c>
      <c r="Q208" s="75">
        <f t="shared" si="11"/>
        <v>59</v>
      </c>
      <c r="R208" s="74">
        <v>13.9166666666667</v>
      </c>
      <c r="S208" s="74">
        <v>15.9166666666667</v>
      </c>
      <c r="T208" s="74">
        <v>17.9166666666667</v>
      </c>
      <c r="U208" s="74">
        <v>19.9166666666667</v>
      </c>
      <c r="V208" s="74">
        <v>22.9166666666667</v>
      </c>
    </row>
    <row r="209" spans="2:22" x14ac:dyDescent="0.2">
      <c r="B209" s="23">
        <v>84</v>
      </c>
      <c r="C209" s="26">
        <v>10.6</v>
      </c>
      <c r="D209" s="24">
        <v>12.4</v>
      </c>
      <c r="E209" s="24">
        <v>13.8</v>
      </c>
      <c r="J209" s="17">
        <f t="shared" si="12"/>
        <v>60</v>
      </c>
      <c r="K209" s="18">
        <v>7</v>
      </c>
      <c r="L209" s="18">
        <v>9</v>
      </c>
      <c r="M209" s="18">
        <v>12.5</v>
      </c>
      <c r="N209" s="18">
        <v>14.5</v>
      </c>
      <c r="O209" s="18">
        <v>16.5</v>
      </c>
      <c r="Q209" s="75">
        <f t="shared" si="11"/>
        <v>60</v>
      </c>
      <c r="R209" s="74">
        <v>14</v>
      </c>
      <c r="S209" s="74">
        <v>16</v>
      </c>
      <c r="T209" s="74">
        <v>18</v>
      </c>
      <c r="U209" s="74">
        <v>20</v>
      </c>
      <c r="V209" s="74">
        <v>23</v>
      </c>
    </row>
    <row r="210" spans="2:22" x14ac:dyDescent="0.2">
      <c r="B210" s="21">
        <v>85</v>
      </c>
      <c r="C210" s="25">
        <v>10.6</v>
      </c>
      <c r="D210" s="22">
        <v>12.4</v>
      </c>
      <c r="E210" s="22">
        <v>13.9</v>
      </c>
      <c r="J210" s="17">
        <f t="shared" si="12"/>
        <v>61</v>
      </c>
      <c r="K210" s="18">
        <v>7.0833333333333304</v>
      </c>
      <c r="L210" s="18">
        <v>9.0833333333333304</v>
      </c>
      <c r="M210" s="18">
        <v>12.5833333333333</v>
      </c>
      <c r="N210" s="18">
        <v>14.5833333333333</v>
      </c>
      <c r="O210" s="18">
        <v>16.5833333333333</v>
      </c>
      <c r="Q210" s="75">
        <f t="shared" si="11"/>
        <v>61</v>
      </c>
      <c r="R210" s="74">
        <v>14</v>
      </c>
      <c r="S210" s="74">
        <v>16</v>
      </c>
      <c r="T210" s="74">
        <v>18.0416666666667</v>
      </c>
      <c r="U210" s="74">
        <v>20.1666666666667</v>
      </c>
      <c r="V210" s="74">
        <v>23.1666666666667</v>
      </c>
    </row>
    <row r="211" spans="2:22" x14ac:dyDescent="0.2">
      <c r="B211" s="21">
        <v>86</v>
      </c>
      <c r="C211" s="25">
        <v>10.7</v>
      </c>
      <c r="D211" s="22">
        <v>12.5</v>
      </c>
      <c r="E211" s="22">
        <v>14</v>
      </c>
      <c r="J211" s="17">
        <f t="shared" si="12"/>
        <v>62</v>
      </c>
      <c r="K211" s="18">
        <v>7.1666666666666696</v>
      </c>
      <c r="L211" s="18">
        <v>9.1666666666666696</v>
      </c>
      <c r="M211" s="18">
        <v>12.6666666666667</v>
      </c>
      <c r="N211" s="18">
        <v>14.6666666666667</v>
      </c>
      <c r="O211" s="18">
        <v>16.6666666666667</v>
      </c>
      <c r="Q211" s="75">
        <f t="shared" si="11"/>
        <v>62</v>
      </c>
      <c r="R211" s="74">
        <v>14</v>
      </c>
      <c r="S211" s="74">
        <v>16</v>
      </c>
      <c r="T211" s="74">
        <v>18.0833333333333</v>
      </c>
      <c r="U211" s="74">
        <v>20.3333333333333</v>
      </c>
      <c r="V211" s="74">
        <v>23.3333333333333</v>
      </c>
    </row>
    <row r="212" spans="2:22" x14ac:dyDescent="0.2">
      <c r="B212" s="21">
        <v>87</v>
      </c>
      <c r="C212" s="25">
        <v>10.7</v>
      </c>
      <c r="D212" s="22">
        <v>12.5</v>
      </c>
      <c r="E212" s="22">
        <v>14.1</v>
      </c>
      <c r="J212" s="17">
        <f t="shared" si="12"/>
        <v>63</v>
      </c>
      <c r="K212" s="18">
        <v>7.25</v>
      </c>
      <c r="L212" s="18">
        <v>9.25</v>
      </c>
      <c r="M212" s="18">
        <v>12.75</v>
      </c>
      <c r="N212" s="18">
        <v>14.75</v>
      </c>
      <c r="O212" s="18">
        <v>16.75</v>
      </c>
      <c r="Q212" s="75">
        <f t="shared" si="11"/>
        <v>63</v>
      </c>
      <c r="R212" s="74">
        <v>14</v>
      </c>
      <c r="S212" s="74">
        <v>16</v>
      </c>
      <c r="T212" s="74">
        <v>18.125</v>
      </c>
      <c r="U212" s="74">
        <v>20.5</v>
      </c>
      <c r="V212" s="74">
        <v>23.5</v>
      </c>
    </row>
    <row r="213" spans="2:22" x14ac:dyDescent="0.2">
      <c r="B213" s="21">
        <v>88</v>
      </c>
      <c r="C213" s="25">
        <v>10.7</v>
      </c>
      <c r="D213" s="22">
        <v>12.5</v>
      </c>
      <c r="E213" s="22">
        <v>14.2</v>
      </c>
      <c r="J213" s="17">
        <f t="shared" si="12"/>
        <v>64</v>
      </c>
      <c r="K213" s="18">
        <v>7.3333333333333304</v>
      </c>
      <c r="L213" s="18">
        <v>9.3333333333333304</v>
      </c>
      <c r="M213" s="18">
        <v>12.8333333333333</v>
      </c>
      <c r="N213" s="18">
        <v>14.8333333333333</v>
      </c>
      <c r="O213" s="18">
        <v>16.8333333333333</v>
      </c>
      <c r="Q213" s="75">
        <f t="shared" si="11"/>
        <v>64</v>
      </c>
      <c r="R213" s="74">
        <v>14</v>
      </c>
      <c r="S213" s="74">
        <v>16</v>
      </c>
      <c r="T213" s="74">
        <v>18.1666666666667</v>
      </c>
      <c r="U213" s="74">
        <v>20.6666666666667</v>
      </c>
      <c r="V213" s="74">
        <v>23.6666666666667</v>
      </c>
    </row>
    <row r="214" spans="2:22" x14ac:dyDescent="0.2">
      <c r="B214" s="21">
        <v>89</v>
      </c>
      <c r="C214" s="25">
        <v>10.8</v>
      </c>
      <c r="D214" s="22">
        <v>12.6</v>
      </c>
      <c r="E214" s="22">
        <v>14.3</v>
      </c>
      <c r="J214" s="17">
        <f t="shared" si="12"/>
        <v>65</v>
      </c>
      <c r="K214" s="18">
        <v>7.4166666666666696</v>
      </c>
      <c r="L214" s="18">
        <v>9.4166666666666696</v>
      </c>
      <c r="M214" s="18">
        <v>12.9166666666667</v>
      </c>
      <c r="N214" s="18">
        <v>14.9166666666667</v>
      </c>
      <c r="O214" s="18">
        <v>16.9166666666667</v>
      </c>
      <c r="Q214" s="75">
        <f t="shared" si="11"/>
        <v>65</v>
      </c>
      <c r="R214" s="74">
        <v>14</v>
      </c>
      <c r="S214" s="74">
        <v>16</v>
      </c>
      <c r="T214" s="74">
        <v>18.2083333333333</v>
      </c>
      <c r="U214" s="74">
        <v>20.8333333333333</v>
      </c>
      <c r="V214" s="74">
        <v>23.8333333333333</v>
      </c>
    </row>
    <row r="215" spans="2:22" x14ac:dyDescent="0.2">
      <c r="B215" s="23">
        <v>90</v>
      </c>
      <c r="C215" s="26">
        <v>10.8</v>
      </c>
      <c r="D215" s="24">
        <v>12.6</v>
      </c>
      <c r="E215" s="24">
        <v>14.4</v>
      </c>
      <c r="J215" s="17">
        <f t="shared" ref="J215:J246" si="13">J214+1</f>
        <v>66</v>
      </c>
      <c r="K215" s="18">
        <v>7.5</v>
      </c>
      <c r="L215" s="18">
        <v>9.5</v>
      </c>
      <c r="M215" s="18">
        <v>13</v>
      </c>
      <c r="N215" s="18">
        <v>15</v>
      </c>
      <c r="O215" s="18">
        <v>17</v>
      </c>
      <c r="Q215" s="75">
        <f t="shared" ref="Q215:Q269" si="14">Q214+1</f>
        <v>66</v>
      </c>
      <c r="R215" s="74">
        <v>14</v>
      </c>
      <c r="S215" s="74">
        <v>16</v>
      </c>
      <c r="T215" s="74">
        <v>18.25</v>
      </c>
      <c r="U215" s="74">
        <v>21</v>
      </c>
      <c r="V215" s="74">
        <v>24</v>
      </c>
    </row>
    <row r="216" spans="2:22" x14ac:dyDescent="0.2">
      <c r="B216" s="21">
        <v>91</v>
      </c>
      <c r="C216" s="25">
        <v>10.9</v>
      </c>
      <c r="D216" s="22">
        <v>12.7</v>
      </c>
      <c r="E216" s="22">
        <v>14.5</v>
      </c>
      <c r="J216" s="17">
        <f t="shared" si="13"/>
        <v>67</v>
      </c>
      <c r="K216" s="18">
        <v>7.5833333333333304</v>
      </c>
      <c r="L216" s="18">
        <v>9.5833333333333304</v>
      </c>
      <c r="M216" s="18">
        <v>13.0833333333333</v>
      </c>
      <c r="N216" s="18">
        <v>15.0833333333333</v>
      </c>
      <c r="O216" s="18">
        <v>17.0833333333333</v>
      </c>
      <c r="Q216" s="75">
        <f t="shared" si="14"/>
        <v>67</v>
      </c>
      <c r="R216" s="74">
        <v>14</v>
      </c>
      <c r="S216" s="74">
        <v>16</v>
      </c>
      <c r="T216" s="74">
        <v>18.2916666666667</v>
      </c>
      <c r="U216" s="74">
        <v>21.1666666666667</v>
      </c>
      <c r="V216" s="74">
        <v>24.1666666666667</v>
      </c>
    </row>
    <row r="217" spans="2:22" x14ac:dyDescent="0.2">
      <c r="B217" s="21">
        <v>92</v>
      </c>
      <c r="C217" s="25">
        <v>11</v>
      </c>
      <c r="D217" s="22">
        <v>12.9</v>
      </c>
      <c r="E217" s="22">
        <v>14.6</v>
      </c>
      <c r="J217" s="17">
        <f t="shared" si="13"/>
        <v>68</v>
      </c>
      <c r="K217" s="18">
        <v>7.6666666666666696</v>
      </c>
      <c r="L217" s="18">
        <v>9.6666666666666696</v>
      </c>
      <c r="M217" s="18">
        <v>13.1666666666667</v>
      </c>
      <c r="N217" s="18">
        <v>15.1666666666667</v>
      </c>
      <c r="O217" s="18">
        <v>17.1666666666667</v>
      </c>
      <c r="Q217" s="75">
        <f t="shared" si="14"/>
        <v>68</v>
      </c>
      <c r="R217" s="74">
        <v>14</v>
      </c>
      <c r="S217" s="74">
        <v>16</v>
      </c>
      <c r="T217" s="74">
        <v>18.3333333333333</v>
      </c>
      <c r="U217" s="74">
        <v>21.3333333333333</v>
      </c>
      <c r="V217" s="74">
        <v>24.3333333333333</v>
      </c>
    </row>
    <row r="218" spans="2:22" x14ac:dyDescent="0.2">
      <c r="B218" s="21">
        <v>93</v>
      </c>
      <c r="C218" s="25">
        <v>11.2</v>
      </c>
      <c r="D218" s="22">
        <v>13</v>
      </c>
      <c r="E218" s="22">
        <v>14.7</v>
      </c>
      <c r="J218" s="17">
        <f t="shared" si="13"/>
        <v>69</v>
      </c>
      <c r="K218" s="18">
        <v>7.75</v>
      </c>
      <c r="L218" s="18">
        <v>9.75</v>
      </c>
      <c r="M218" s="18">
        <v>13.25</v>
      </c>
      <c r="N218" s="18">
        <v>15.25</v>
      </c>
      <c r="O218" s="18">
        <v>17.25</v>
      </c>
      <c r="Q218" s="75">
        <f t="shared" si="14"/>
        <v>69</v>
      </c>
      <c r="R218" s="74">
        <v>14</v>
      </c>
      <c r="S218" s="74">
        <v>16</v>
      </c>
      <c r="T218" s="74">
        <v>18.375</v>
      </c>
      <c r="U218" s="74">
        <v>21.5</v>
      </c>
      <c r="V218" s="74">
        <v>24.5</v>
      </c>
    </row>
    <row r="219" spans="2:22" x14ac:dyDescent="0.2">
      <c r="B219" s="21">
        <v>94</v>
      </c>
      <c r="C219" s="25">
        <v>11.3</v>
      </c>
      <c r="D219" s="22">
        <v>13.2</v>
      </c>
      <c r="E219" s="22">
        <v>14.8</v>
      </c>
      <c r="J219" s="17">
        <f t="shared" si="13"/>
        <v>70</v>
      </c>
      <c r="K219" s="18">
        <v>7.8333333333333304</v>
      </c>
      <c r="L219" s="18">
        <v>9.8333333333333304</v>
      </c>
      <c r="M219" s="18">
        <v>13.3333333333333</v>
      </c>
      <c r="N219" s="18">
        <v>15.3333333333333</v>
      </c>
      <c r="O219" s="18">
        <v>17.3333333333333</v>
      </c>
      <c r="Q219" s="75">
        <f t="shared" si="14"/>
        <v>70</v>
      </c>
      <c r="R219" s="74">
        <v>14</v>
      </c>
      <c r="S219" s="74">
        <v>16</v>
      </c>
      <c r="T219" s="74">
        <v>18.4166666666667</v>
      </c>
      <c r="U219" s="74">
        <v>21.6666666666667</v>
      </c>
      <c r="V219" s="74">
        <v>24.6666666666667</v>
      </c>
    </row>
    <row r="220" spans="2:22" x14ac:dyDescent="0.2">
      <c r="B220" s="21">
        <v>95</v>
      </c>
      <c r="C220" s="25">
        <v>11.4</v>
      </c>
      <c r="D220" s="22">
        <v>13.4</v>
      </c>
      <c r="E220" s="22">
        <v>14.9</v>
      </c>
      <c r="J220" s="17">
        <f t="shared" si="13"/>
        <v>71</v>
      </c>
      <c r="K220" s="18">
        <v>7.9166666666666696</v>
      </c>
      <c r="L220" s="18">
        <v>9.9166666666666696</v>
      </c>
      <c r="M220" s="18">
        <v>13.4166666666667</v>
      </c>
      <c r="N220" s="18">
        <v>15.4166666666667</v>
      </c>
      <c r="O220" s="18">
        <v>17.4166666666667</v>
      </c>
      <c r="Q220" s="75">
        <f t="shared" si="14"/>
        <v>71</v>
      </c>
      <c r="R220" s="74">
        <v>14</v>
      </c>
      <c r="S220" s="74">
        <v>16</v>
      </c>
      <c r="T220" s="74">
        <v>18.4583333333333</v>
      </c>
      <c r="U220" s="74">
        <v>21.8333333333333</v>
      </c>
      <c r="V220" s="74">
        <v>24.8333333333333</v>
      </c>
    </row>
    <row r="221" spans="2:22" x14ac:dyDescent="0.2">
      <c r="B221" s="27">
        <v>96</v>
      </c>
      <c r="C221" s="28">
        <v>11.5</v>
      </c>
      <c r="D221" s="29">
        <v>13.5</v>
      </c>
      <c r="E221" s="29">
        <v>15</v>
      </c>
      <c r="J221" s="17">
        <f t="shared" si="13"/>
        <v>72</v>
      </c>
      <c r="K221" s="18">
        <v>8</v>
      </c>
      <c r="L221" s="18">
        <v>10</v>
      </c>
      <c r="M221" s="18">
        <v>13.5</v>
      </c>
      <c r="N221" s="18">
        <v>15.5</v>
      </c>
      <c r="O221" s="18">
        <v>17.5</v>
      </c>
      <c r="Q221" s="75">
        <f t="shared" si="14"/>
        <v>72</v>
      </c>
      <c r="R221" s="74">
        <v>14</v>
      </c>
      <c r="S221" s="74">
        <v>16</v>
      </c>
      <c r="T221" s="74">
        <v>18.5</v>
      </c>
      <c r="U221" s="74">
        <v>22</v>
      </c>
      <c r="V221" s="74">
        <v>25</v>
      </c>
    </row>
    <row r="222" spans="2:22" x14ac:dyDescent="0.2">
      <c r="J222" s="17">
        <f t="shared" si="13"/>
        <v>73</v>
      </c>
      <c r="K222" s="18">
        <v>8</v>
      </c>
      <c r="L222" s="18">
        <v>10.0833333333333</v>
      </c>
      <c r="M222" s="18">
        <v>13.5416666666667</v>
      </c>
      <c r="N222" s="18">
        <v>15.5833333333333</v>
      </c>
      <c r="O222" s="18">
        <v>17.608333333333299</v>
      </c>
      <c r="Q222" s="75">
        <f t="shared" si="14"/>
        <v>73</v>
      </c>
      <c r="R222" s="74">
        <v>14</v>
      </c>
      <c r="S222" s="74">
        <v>16</v>
      </c>
      <c r="T222" s="74">
        <v>18.5</v>
      </c>
      <c r="U222" s="74">
        <v>22.0416666666667</v>
      </c>
      <c r="V222" s="74">
        <v>25</v>
      </c>
    </row>
    <row r="223" spans="2:22" x14ac:dyDescent="0.2">
      <c r="J223" s="17">
        <f t="shared" si="13"/>
        <v>74</v>
      </c>
      <c r="K223" s="18">
        <v>8</v>
      </c>
      <c r="L223" s="18">
        <v>10.1666666666667</v>
      </c>
      <c r="M223" s="18">
        <v>13.5833333333333</v>
      </c>
      <c r="N223" s="18">
        <v>15.6666666666667</v>
      </c>
      <c r="O223" s="18">
        <v>17.716666666666701</v>
      </c>
      <c r="Q223" s="75">
        <f t="shared" si="14"/>
        <v>74</v>
      </c>
      <c r="R223" s="74">
        <v>14</v>
      </c>
      <c r="S223" s="74">
        <v>16</v>
      </c>
      <c r="T223" s="74">
        <v>18.5</v>
      </c>
      <c r="U223" s="74">
        <v>22.0833333333333</v>
      </c>
      <c r="V223" s="74">
        <v>25</v>
      </c>
    </row>
    <row r="224" spans="2:22" x14ac:dyDescent="0.2">
      <c r="J224" s="17">
        <f t="shared" si="13"/>
        <v>75</v>
      </c>
      <c r="K224" s="18">
        <v>8</v>
      </c>
      <c r="L224" s="18">
        <v>10.25</v>
      </c>
      <c r="M224" s="18">
        <v>13.625</v>
      </c>
      <c r="N224" s="18">
        <v>15.75</v>
      </c>
      <c r="O224" s="18">
        <v>17.824999999999999</v>
      </c>
      <c r="Q224" s="75">
        <f t="shared" si="14"/>
        <v>75</v>
      </c>
      <c r="R224" s="74">
        <v>14</v>
      </c>
      <c r="S224" s="74">
        <v>16</v>
      </c>
      <c r="T224" s="74">
        <v>18.5</v>
      </c>
      <c r="U224" s="74">
        <v>22.125</v>
      </c>
      <c r="V224" s="74">
        <v>25</v>
      </c>
    </row>
    <row r="225" spans="2:22" ht="15.75" thickBot="1" x14ac:dyDescent="0.25">
      <c r="J225" s="17">
        <f t="shared" si="13"/>
        <v>76</v>
      </c>
      <c r="K225" s="18">
        <v>8</v>
      </c>
      <c r="L225" s="18">
        <v>10.3333333333333</v>
      </c>
      <c r="M225" s="18">
        <v>13.6666666666667</v>
      </c>
      <c r="N225" s="18">
        <v>15.8333333333333</v>
      </c>
      <c r="O225" s="18">
        <v>17.933333333333302</v>
      </c>
      <c r="Q225" s="75">
        <f t="shared" si="14"/>
        <v>76</v>
      </c>
      <c r="R225" s="74">
        <v>14</v>
      </c>
      <c r="S225" s="74">
        <v>16</v>
      </c>
      <c r="T225" s="74">
        <v>18.5</v>
      </c>
      <c r="U225" s="74">
        <v>22.1666666666667</v>
      </c>
      <c r="V225" s="74">
        <v>25</v>
      </c>
    </row>
    <row r="226" spans="2:22" x14ac:dyDescent="0.2">
      <c r="B226" s="101" t="s">
        <v>27</v>
      </c>
      <c r="C226" s="102"/>
      <c r="D226" s="1"/>
      <c r="J226" s="17">
        <f t="shared" si="13"/>
        <v>77</v>
      </c>
      <c r="K226" s="18">
        <v>8</v>
      </c>
      <c r="L226" s="18">
        <v>10.4166666666667</v>
      </c>
      <c r="M226" s="18">
        <v>13.7083333333333</v>
      </c>
      <c r="N226" s="18">
        <v>15.9166666666667</v>
      </c>
      <c r="O226" s="18">
        <v>18.0416666666667</v>
      </c>
      <c r="Q226" s="75">
        <f t="shared" si="14"/>
        <v>77</v>
      </c>
      <c r="R226" s="74">
        <v>14</v>
      </c>
      <c r="S226" s="74">
        <v>16</v>
      </c>
      <c r="T226" s="74">
        <v>18.5</v>
      </c>
      <c r="U226" s="74">
        <v>22.2083333333333</v>
      </c>
      <c r="V226" s="74">
        <v>25</v>
      </c>
    </row>
    <row r="227" spans="2:22" x14ac:dyDescent="0.2">
      <c r="B227" s="13" t="s">
        <v>3</v>
      </c>
      <c r="C227" s="13" t="s">
        <v>23</v>
      </c>
      <c r="D227" s="13" t="s">
        <v>21</v>
      </c>
      <c r="J227" s="17">
        <f t="shared" si="13"/>
        <v>78</v>
      </c>
      <c r="K227" s="18">
        <v>8</v>
      </c>
      <c r="L227" s="18">
        <v>10.5</v>
      </c>
      <c r="M227" s="18">
        <v>13.75</v>
      </c>
      <c r="N227" s="18">
        <v>16</v>
      </c>
      <c r="O227" s="18">
        <v>18.149999999999999</v>
      </c>
      <c r="Q227" s="75">
        <f t="shared" si="14"/>
        <v>78</v>
      </c>
      <c r="R227" s="74">
        <v>14</v>
      </c>
      <c r="S227" s="74">
        <v>16</v>
      </c>
      <c r="T227" s="74">
        <v>18.5</v>
      </c>
      <c r="U227" s="74">
        <v>22.25</v>
      </c>
      <c r="V227" s="74">
        <v>25</v>
      </c>
    </row>
    <row r="228" spans="2:22" x14ac:dyDescent="0.2">
      <c r="B228" s="30">
        <v>24</v>
      </c>
      <c r="C228" s="34">
        <v>6.3</v>
      </c>
      <c r="D228" s="34">
        <v>7.8</v>
      </c>
      <c r="J228" s="17">
        <f t="shared" si="13"/>
        <v>79</v>
      </c>
      <c r="K228" s="18">
        <v>8</v>
      </c>
      <c r="L228" s="18">
        <v>10.5833333333333</v>
      </c>
      <c r="M228" s="18">
        <v>13.7916666666667</v>
      </c>
      <c r="N228" s="18">
        <v>16.0833333333333</v>
      </c>
      <c r="O228" s="18">
        <v>18.258333333333301</v>
      </c>
      <c r="Q228" s="75">
        <f t="shared" si="14"/>
        <v>79</v>
      </c>
      <c r="R228" s="74">
        <v>14</v>
      </c>
      <c r="S228" s="74">
        <v>16</v>
      </c>
      <c r="T228" s="74">
        <v>18.5</v>
      </c>
      <c r="U228" s="74">
        <v>22.2916666666667</v>
      </c>
      <c r="V228" s="74">
        <v>25</v>
      </c>
    </row>
    <row r="229" spans="2:22" x14ac:dyDescent="0.2">
      <c r="B229" s="31">
        <v>25</v>
      </c>
      <c r="C229" s="35">
        <v>6.3</v>
      </c>
      <c r="D229" s="35">
        <v>7.8</v>
      </c>
      <c r="J229" s="17">
        <f t="shared" si="13"/>
        <v>80</v>
      </c>
      <c r="K229" s="18">
        <v>8</v>
      </c>
      <c r="L229" s="18">
        <v>10.6666666666667</v>
      </c>
      <c r="M229" s="18">
        <v>13.8333333333333</v>
      </c>
      <c r="N229" s="18">
        <v>16.1666666666667</v>
      </c>
      <c r="O229" s="18">
        <v>18.366666666666699</v>
      </c>
      <c r="Q229" s="75">
        <f t="shared" si="14"/>
        <v>80</v>
      </c>
      <c r="R229" s="74">
        <v>14</v>
      </c>
      <c r="S229" s="74">
        <v>16</v>
      </c>
      <c r="T229" s="74">
        <v>18.5</v>
      </c>
      <c r="U229" s="74">
        <v>22.3333333333333</v>
      </c>
      <c r="V229" s="74">
        <v>25</v>
      </c>
    </row>
    <row r="230" spans="2:22" x14ac:dyDescent="0.2">
      <c r="B230" s="31">
        <v>26</v>
      </c>
      <c r="C230" s="35">
        <v>6.4</v>
      </c>
      <c r="D230" s="35">
        <v>7.8</v>
      </c>
      <c r="J230" s="17">
        <f t="shared" si="13"/>
        <v>81</v>
      </c>
      <c r="K230" s="18">
        <v>8</v>
      </c>
      <c r="L230" s="18">
        <v>10.75</v>
      </c>
      <c r="M230" s="18">
        <v>13.875</v>
      </c>
      <c r="N230" s="18">
        <v>16.25</v>
      </c>
      <c r="O230" s="18">
        <v>18.475000000000001</v>
      </c>
      <c r="Q230" s="75">
        <f t="shared" si="14"/>
        <v>81</v>
      </c>
      <c r="R230" s="74">
        <v>14</v>
      </c>
      <c r="S230" s="74">
        <v>16</v>
      </c>
      <c r="T230" s="74">
        <v>18.5</v>
      </c>
      <c r="U230" s="74">
        <v>22.375</v>
      </c>
      <c r="V230" s="74">
        <v>25</v>
      </c>
    </row>
    <row r="231" spans="2:22" x14ac:dyDescent="0.2">
      <c r="B231" s="31">
        <v>27</v>
      </c>
      <c r="C231" s="35">
        <v>6.4</v>
      </c>
      <c r="D231" s="35">
        <v>7.9</v>
      </c>
      <c r="J231" s="17">
        <f t="shared" si="13"/>
        <v>82</v>
      </c>
      <c r="K231" s="18">
        <v>8</v>
      </c>
      <c r="L231" s="18">
        <v>10.8333333333333</v>
      </c>
      <c r="M231" s="18">
        <v>13.9166666666667</v>
      </c>
      <c r="N231" s="18">
        <v>16.3333333333333</v>
      </c>
      <c r="O231" s="18">
        <v>18.5833333333333</v>
      </c>
      <c r="Q231" s="75">
        <f t="shared" si="14"/>
        <v>82</v>
      </c>
      <c r="R231" s="74">
        <v>14</v>
      </c>
      <c r="S231" s="74">
        <v>16</v>
      </c>
      <c r="T231" s="74">
        <v>18.5</v>
      </c>
      <c r="U231" s="74">
        <v>22.4166666666667</v>
      </c>
      <c r="V231" s="74">
        <v>25</v>
      </c>
    </row>
    <row r="232" spans="2:22" x14ac:dyDescent="0.2">
      <c r="B232" s="31">
        <v>28</v>
      </c>
      <c r="C232" s="35">
        <v>6.4</v>
      </c>
      <c r="D232" s="35">
        <v>7.9</v>
      </c>
      <c r="J232" s="17">
        <f t="shared" si="13"/>
        <v>83</v>
      </c>
      <c r="K232" s="18">
        <v>8</v>
      </c>
      <c r="L232" s="18">
        <v>10.9166666666667</v>
      </c>
      <c r="M232" s="18">
        <v>13.9583333333333</v>
      </c>
      <c r="N232" s="18">
        <v>16.4166666666667</v>
      </c>
      <c r="O232" s="18">
        <v>18.691666666666698</v>
      </c>
      <c r="Q232" s="75">
        <f t="shared" si="14"/>
        <v>83</v>
      </c>
      <c r="R232" s="74">
        <v>14</v>
      </c>
      <c r="S232" s="74">
        <v>16</v>
      </c>
      <c r="T232" s="74">
        <v>18.5</v>
      </c>
      <c r="U232" s="74">
        <v>22.4583333333333</v>
      </c>
      <c r="V232" s="74">
        <v>25</v>
      </c>
    </row>
    <row r="233" spans="2:22" x14ac:dyDescent="0.2">
      <c r="B233" s="31">
        <v>29</v>
      </c>
      <c r="C233" s="35">
        <v>6.5</v>
      </c>
      <c r="D233" s="35">
        <v>7.9</v>
      </c>
      <c r="J233" s="17">
        <f t="shared" si="13"/>
        <v>84</v>
      </c>
      <c r="K233" s="18">
        <v>8</v>
      </c>
      <c r="L233" s="18">
        <v>11</v>
      </c>
      <c r="M233" s="18">
        <v>14</v>
      </c>
      <c r="N233" s="18">
        <v>16.5</v>
      </c>
      <c r="O233" s="18">
        <v>18.8</v>
      </c>
      <c r="Q233" s="75">
        <f t="shared" si="14"/>
        <v>84</v>
      </c>
      <c r="R233" s="74">
        <v>14</v>
      </c>
      <c r="S233" s="74">
        <v>16</v>
      </c>
      <c r="T233" s="74">
        <v>18.5</v>
      </c>
      <c r="U233" s="74">
        <v>22.5</v>
      </c>
      <c r="V233" s="74">
        <v>25</v>
      </c>
    </row>
    <row r="234" spans="2:22" x14ac:dyDescent="0.2">
      <c r="B234" s="30">
        <v>30</v>
      </c>
      <c r="C234" s="34">
        <v>6.5</v>
      </c>
      <c r="D234" s="34">
        <v>7.9</v>
      </c>
      <c r="J234" s="17">
        <f t="shared" si="13"/>
        <v>85</v>
      </c>
      <c r="K234" s="18">
        <v>8.1666666666666696</v>
      </c>
      <c r="L234" s="18">
        <v>11.0833333333333</v>
      </c>
      <c r="M234" s="18">
        <v>14.0416666666667</v>
      </c>
      <c r="N234" s="18">
        <v>16.5833333333333</v>
      </c>
      <c r="O234" s="18">
        <v>18.899999999999999</v>
      </c>
      <c r="Q234" s="75">
        <f t="shared" si="14"/>
        <v>85</v>
      </c>
      <c r="R234" s="74">
        <v>14</v>
      </c>
      <c r="S234" s="74">
        <v>16</v>
      </c>
      <c r="T234" s="74">
        <v>18.5416666666667</v>
      </c>
      <c r="U234" s="74">
        <v>22.5</v>
      </c>
      <c r="V234" s="74">
        <v>25</v>
      </c>
    </row>
    <row r="235" spans="2:22" x14ac:dyDescent="0.2">
      <c r="B235" s="31">
        <v>31</v>
      </c>
      <c r="C235" s="35">
        <v>6.6</v>
      </c>
      <c r="D235" s="35">
        <v>8.1</v>
      </c>
      <c r="J235" s="17">
        <f t="shared" si="13"/>
        <v>86</v>
      </c>
      <c r="K235" s="18">
        <v>8.3333333333333304</v>
      </c>
      <c r="L235" s="18">
        <v>11.1666666666667</v>
      </c>
      <c r="M235" s="18">
        <v>14.0833333333333</v>
      </c>
      <c r="N235" s="18">
        <v>16.6666666666667</v>
      </c>
      <c r="O235" s="18">
        <v>19</v>
      </c>
      <c r="Q235" s="75">
        <f t="shared" si="14"/>
        <v>86</v>
      </c>
      <c r="R235" s="74">
        <v>14</v>
      </c>
      <c r="S235" s="74">
        <v>16</v>
      </c>
      <c r="T235" s="74">
        <v>18.5833333333333</v>
      </c>
      <c r="U235" s="74">
        <v>22.5</v>
      </c>
      <c r="V235" s="74">
        <v>25</v>
      </c>
    </row>
    <row r="236" spans="2:22" x14ac:dyDescent="0.2">
      <c r="B236" s="31">
        <v>32</v>
      </c>
      <c r="C236" s="35">
        <v>6.6</v>
      </c>
      <c r="D236" s="35">
        <v>8.4</v>
      </c>
      <c r="J236" s="17">
        <f t="shared" si="13"/>
        <v>87</v>
      </c>
      <c r="K236" s="18">
        <v>8.5</v>
      </c>
      <c r="L236" s="18">
        <v>11.25</v>
      </c>
      <c r="M236" s="18">
        <v>14.125</v>
      </c>
      <c r="N236" s="18">
        <v>16.75</v>
      </c>
      <c r="O236" s="18">
        <v>19.100000000000001</v>
      </c>
      <c r="Q236" s="75">
        <f t="shared" si="14"/>
        <v>87</v>
      </c>
      <c r="R236" s="74">
        <v>14</v>
      </c>
      <c r="S236" s="74">
        <v>16</v>
      </c>
      <c r="T236" s="74">
        <v>18.625</v>
      </c>
      <c r="U236" s="74">
        <v>22.5</v>
      </c>
      <c r="V236" s="74">
        <v>25</v>
      </c>
    </row>
    <row r="237" spans="2:22" x14ac:dyDescent="0.2">
      <c r="B237" s="31">
        <v>33</v>
      </c>
      <c r="C237" s="35">
        <v>6.7</v>
      </c>
      <c r="D237" s="35">
        <v>8.6</v>
      </c>
      <c r="J237" s="17">
        <f t="shared" si="13"/>
        <v>88</v>
      </c>
      <c r="K237" s="18">
        <v>8.6666666666666696</v>
      </c>
      <c r="L237" s="18">
        <v>11.3333333333333</v>
      </c>
      <c r="M237" s="18">
        <v>14.1666666666667</v>
      </c>
      <c r="N237" s="18">
        <v>16.8333333333333</v>
      </c>
      <c r="O237" s="18">
        <v>19.2</v>
      </c>
      <c r="Q237" s="75">
        <f t="shared" si="14"/>
        <v>88</v>
      </c>
      <c r="R237" s="74">
        <v>14</v>
      </c>
      <c r="S237" s="74">
        <v>16</v>
      </c>
      <c r="T237" s="74">
        <v>18.6666666666667</v>
      </c>
      <c r="U237" s="74">
        <v>22.5</v>
      </c>
      <c r="V237" s="74">
        <v>25</v>
      </c>
    </row>
    <row r="238" spans="2:22" x14ac:dyDescent="0.2">
      <c r="B238" s="31">
        <v>34</v>
      </c>
      <c r="C238" s="35">
        <v>6.7</v>
      </c>
      <c r="D238" s="35">
        <v>8.8000000000000007</v>
      </c>
      <c r="J238" s="17">
        <f t="shared" si="13"/>
        <v>89</v>
      </c>
      <c r="K238" s="18">
        <v>8.8333333333333304</v>
      </c>
      <c r="L238" s="18">
        <v>11.4166666666667</v>
      </c>
      <c r="M238" s="18">
        <v>14.2083333333333</v>
      </c>
      <c r="N238" s="18">
        <v>16.9166666666667</v>
      </c>
      <c r="O238" s="18">
        <v>19.3</v>
      </c>
      <c r="Q238" s="75">
        <f t="shared" si="14"/>
        <v>89</v>
      </c>
      <c r="R238" s="74">
        <v>14</v>
      </c>
      <c r="S238" s="74">
        <v>16</v>
      </c>
      <c r="T238" s="74">
        <v>18.7083333333333</v>
      </c>
      <c r="U238" s="74">
        <v>22.5</v>
      </c>
      <c r="V238" s="74">
        <v>25</v>
      </c>
    </row>
    <row r="239" spans="2:22" x14ac:dyDescent="0.2">
      <c r="B239" s="31">
        <v>35</v>
      </c>
      <c r="C239" s="35">
        <v>6.8</v>
      </c>
      <c r="D239" s="35">
        <v>9.1</v>
      </c>
      <c r="J239" s="17">
        <f t="shared" si="13"/>
        <v>90</v>
      </c>
      <c r="K239" s="18">
        <v>9</v>
      </c>
      <c r="L239" s="18">
        <v>11.5</v>
      </c>
      <c r="M239" s="18">
        <v>14.25</v>
      </c>
      <c r="N239" s="18">
        <v>17</v>
      </c>
      <c r="O239" s="18">
        <v>19.399999999999999</v>
      </c>
      <c r="Q239" s="75">
        <f t="shared" si="14"/>
        <v>90</v>
      </c>
      <c r="R239" s="74">
        <v>14</v>
      </c>
      <c r="S239" s="74">
        <v>16</v>
      </c>
      <c r="T239" s="74">
        <v>18.75</v>
      </c>
      <c r="U239" s="74">
        <v>22.5</v>
      </c>
      <c r="V239" s="74">
        <v>25</v>
      </c>
    </row>
    <row r="240" spans="2:22" x14ac:dyDescent="0.2">
      <c r="B240" s="30">
        <v>36</v>
      </c>
      <c r="C240" s="34">
        <v>6.8</v>
      </c>
      <c r="D240" s="34">
        <v>9.3000000000000007</v>
      </c>
      <c r="J240" s="17">
        <f t="shared" si="13"/>
        <v>91</v>
      </c>
      <c r="K240" s="18">
        <v>9.1666666666666696</v>
      </c>
      <c r="L240" s="18">
        <v>11.5833333333333</v>
      </c>
      <c r="M240" s="18">
        <v>14.2916666666667</v>
      </c>
      <c r="N240" s="18">
        <v>17.0833333333333</v>
      </c>
      <c r="O240" s="18">
        <v>19.5</v>
      </c>
      <c r="Q240" s="75">
        <f t="shared" si="14"/>
        <v>91</v>
      </c>
      <c r="R240" s="74">
        <v>14</v>
      </c>
      <c r="S240" s="74">
        <v>16</v>
      </c>
      <c r="T240" s="74">
        <v>18.7916666666667</v>
      </c>
      <c r="U240" s="74">
        <v>22.5</v>
      </c>
      <c r="V240" s="74">
        <v>25</v>
      </c>
    </row>
    <row r="241" spans="2:22" x14ac:dyDescent="0.2">
      <c r="B241" s="31">
        <v>37</v>
      </c>
      <c r="C241" s="35">
        <v>6.9</v>
      </c>
      <c r="D241" s="35">
        <v>9.4</v>
      </c>
      <c r="J241" s="17">
        <f t="shared" si="13"/>
        <v>92</v>
      </c>
      <c r="K241" s="18">
        <v>9.3333333333333304</v>
      </c>
      <c r="L241" s="18">
        <v>11.6666666666667</v>
      </c>
      <c r="M241" s="18">
        <v>14.3333333333333</v>
      </c>
      <c r="N241" s="18">
        <v>17.1666666666667</v>
      </c>
      <c r="O241" s="18">
        <v>19.600000000000001</v>
      </c>
      <c r="Q241" s="75">
        <f t="shared" si="14"/>
        <v>92</v>
      </c>
      <c r="R241" s="74">
        <v>14</v>
      </c>
      <c r="S241" s="74">
        <v>16</v>
      </c>
      <c r="T241" s="74">
        <v>18.8333333333333</v>
      </c>
      <c r="U241" s="74">
        <v>22.5</v>
      </c>
      <c r="V241" s="74">
        <v>25</v>
      </c>
    </row>
    <row r="242" spans="2:22" x14ac:dyDescent="0.2">
      <c r="B242" s="31">
        <v>38</v>
      </c>
      <c r="C242" s="35">
        <v>7.1</v>
      </c>
      <c r="D242" s="35">
        <v>9.5</v>
      </c>
      <c r="J242" s="17">
        <f t="shared" si="13"/>
        <v>93</v>
      </c>
      <c r="K242" s="18">
        <v>9.5</v>
      </c>
      <c r="L242" s="18">
        <v>11.75</v>
      </c>
      <c r="M242" s="18">
        <v>14.375</v>
      </c>
      <c r="N242" s="18">
        <v>17.25</v>
      </c>
      <c r="O242" s="18">
        <v>19.7</v>
      </c>
      <c r="Q242" s="75">
        <f t="shared" si="14"/>
        <v>93</v>
      </c>
      <c r="R242" s="74">
        <v>14</v>
      </c>
      <c r="S242" s="74">
        <v>16</v>
      </c>
      <c r="T242" s="74">
        <v>18.875</v>
      </c>
      <c r="U242" s="74">
        <v>22.5</v>
      </c>
      <c r="V242" s="74">
        <v>25</v>
      </c>
    </row>
    <row r="243" spans="2:22" x14ac:dyDescent="0.2">
      <c r="B243" s="31">
        <v>39</v>
      </c>
      <c r="C243" s="35">
        <v>7.2</v>
      </c>
      <c r="D243" s="35">
        <v>9.6999999999999993</v>
      </c>
      <c r="J243" s="17">
        <f t="shared" si="13"/>
        <v>94</v>
      </c>
      <c r="K243" s="18">
        <v>9.6666666666666696</v>
      </c>
      <c r="L243" s="18">
        <v>11.8333333333333</v>
      </c>
      <c r="M243" s="18">
        <v>14.4166666666667</v>
      </c>
      <c r="N243" s="18">
        <v>17.3333333333333</v>
      </c>
      <c r="O243" s="18">
        <v>19.8</v>
      </c>
      <c r="Q243" s="75">
        <f t="shared" si="14"/>
        <v>94</v>
      </c>
      <c r="R243" s="74">
        <v>14</v>
      </c>
      <c r="S243" s="74">
        <v>16</v>
      </c>
      <c r="T243" s="74">
        <v>18.9166666666667</v>
      </c>
      <c r="U243" s="74">
        <v>22.5</v>
      </c>
      <c r="V243" s="74">
        <v>25</v>
      </c>
    </row>
    <row r="244" spans="2:22" x14ac:dyDescent="0.2">
      <c r="B244" s="31">
        <v>40</v>
      </c>
      <c r="C244" s="35">
        <v>7.3</v>
      </c>
      <c r="D244" s="35">
        <v>9.8000000000000007</v>
      </c>
      <c r="J244" s="17">
        <f t="shared" si="13"/>
        <v>95</v>
      </c>
      <c r="K244" s="18">
        <v>9.8333333333333304</v>
      </c>
      <c r="L244" s="18">
        <v>11.9166666666667</v>
      </c>
      <c r="M244" s="18">
        <v>14.4583333333333</v>
      </c>
      <c r="N244" s="18">
        <v>17.4166666666667</v>
      </c>
      <c r="O244" s="18">
        <v>19.899999999999999</v>
      </c>
      <c r="Q244" s="75">
        <f t="shared" si="14"/>
        <v>95</v>
      </c>
      <c r="R244" s="74">
        <v>14</v>
      </c>
      <c r="S244" s="74">
        <v>16</v>
      </c>
      <c r="T244" s="74">
        <v>18.9583333333333</v>
      </c>
      <c r="U244" s="74">
        <v>22.5</v>
      </c>
      <c r="V244" s="74">
        <v>25</v>
      </c>
    </row>
    <row r="245" spans="2:22" x14ac:dyDescent="0.2">
      <c r="B245" s="31">
        <v>41</v>
      </c>
      <c r="C245" s="35">
        <v>7.5</v>
      </c>
      <c r="D245" s="35">
        <v>9.9</v>
      </c>
      <c r="J245" s="17">
        <f t="shared" si="13"/>
        <v>96</v>
      </c>
      <c r="K245" s="18">
        <v>10</v>
      </c>
      <c r="L245" s="18">
        <v>12</v>
      </c>
      <c r="M245" s="18">
        <v>14.5</v>
      </c>
      <c r="N245" s="18">
        <v>17.5</v>
      </c>
      <c r="O245" s="18">
        <v>20</v>
      </c>
      <c r="Q245" s="75">
        <f t="shared" si="14"/>
        <v>96</v>
      </c>
      <c r="R245" s="74">
        <v>14</v>
      </c>
      <c r="S245" s="74">
        <v>16</v>
      </c>
      <c r="T245" s="74">
        <v>19</v>
      </c>
      <c r="U245" s="74">
        <v>22.5</v>
      </c>
      <c r="V245" s="74">
        <v>25</v>
      </c>
    </row>
    <row r="246" spans="2:22" x14ac:dyDescent="0.2">
      <c r="B246" s="30">
        <v>42</v>
      </c>
      <c r="C246" s="34">
        <v>7.5</v>
      </c>
      <c r="D246" s="34">
        <v>10</v>
      </c>
      <c r="J246" s="17">
        <f t="shared" si="13"/>
        <v>97</v>
      </c>
      <c r="K246" s="18">
        <v>10</v>
      </c>
      <c r="L246" s="18">
        <v>12</v>
      </c>
      <c r="M246" s="18">
        <v>14.5208333333333</v>
      </c>
      <c r="N246" s="18">
        <v>17.5208333333333</v>
      </c>
      <c r="O246" s="18">
        <v>20</v>
      </c>
      <c r="Q246" s="75">
        <f t="shared" si="14"/>
        <v>97</v>
      </c>
      <c r="R246" s="74">
        <v>14</v>
      </c>
      <c r="S246" s="74">
        <v>16</v>
      </c>
      <c r="T246" s="74">
        <v>19</v>
      </c>
      <c r="U246" s="74">
        <v>22.5</v>
      </c>
      <c r="V246" s="74">
        <v>25</v>
      </c>
    </row>
    <row r="247" spans="2:22" x14ac:dyDescent="0.2">
      <c r="B247" s="31">
        <v>43</v>
      </c>
      <c r="C247" s="35">
        <v>7.5</v>
      </c>
      <c r="D247" s="35">
        <v>10.1</v>
      </c>
      <c r="J247" s="17">
        <f t="shared" ref="J247:J269" si="15">J246+1</f>
        <v>98</v>
      </c>
      <c r="K247" s="18">
        <v>10</v>
      </c>
      <c r="L247" s="18">
        <v>12</v>
      </c>
      <c r="M247" s="18">
        <v>14.5416666666667</v>
      </c>
      <c r="N247" s="18">
        <v>17.5416666666667</v>
      </c>
      <c r="O247" s="18">
        <v>20</v>
      </c>
      <c r="Q247" s="75">
        <f t="shared" si="14"/>
        <v>98</v>
      </c>
      <c r="R247" s="74">
        <v>14</v>
      </c>
      <c r="S247" s="74">
        <v>16</v>
      </c>
      <c r="T247" s="74">
        <v>19</v>
      </c>
      <c r="U247" s="74">
        <v>22.5</v>
      </c>
      <c r="V247" s="74">
        <v>25</v>
      </c>
    </row>
    <row r="248" spans="2:22" x14ac:dyDescent="0.2">
      <c r="B248" s="31">
        <v>44</v>
      </c>
      <c r="C248" s="35">
        <v>7.6</v>
      </c>
      <c r="D248" s="35">
        <v>10.1</v>
      </c>
      <c r="J248" s="17">
        <f t="shared" si="15"/>
        <v>99</v>
      </c>
      <c r="K248" s="18">
        <v>10</v>
      </c>
      <c r="L248" s="18">
        <v>12</v>
      </c>
      <c r="M248" s="18">
        <v>14.5625</v>
      </c>
      <c r="N248" s="18">
        <v>17.5625</v>
      </c>
      <c r="O248" s="18">
        <v>20</v>
      </c>
      <c r="Q248" s="75">
        <f t="shared" si="14"/>
        <v>99</v>
      </c>
      <c r="R248" s="74">
        <v>14</v>
      </c>
      <c r="S248" s="74">
        <v>16</v>
      </c>
      <c r="T248" s="74">
        <v>19</v>
      </c>
      <c r="U248" s="74">
        <v>22.5</v>
      </c>
      <c r="V248" s="74">
        <v>25</v>
      </c>
    </row>
    <row r="249" spans="2:22" x14ac:dyDescent="0.2">
      <c r="B249" s="31">
        <v>45</v>
      </c>
      <c r="C249" s="35">
        <v>7.6</v>
      </c>
      <c r="D249" s="35">
        <v>10.199999999999999</v>
      </c>
      <c r="J249" s="17">
        <f t="shared" si="15"/>
        <v>100</v>
      </c>
      <c r="K249" s="18">
        <v>10</v>
      </c>
      <c r="L249" s="18">
        <v>12</v>
      </c>
      <c r="M249" s="18">
        <v>14.5833333333333</v>
      </c>
      <c r="N249" s="18">
        <v>17.5833333333333</v>
      </c>
      <c r="O249" s="18">
        <v>20</v>
      </c>
      <c r="Q249" s="75">
        <f t="shared" si="14"/>
        <v>100</v>
      </c>
      <c r="R249" s="74">
        <v>14</v>
      </c>
      <c r="S249" s="74">
        <v>16</v>
      </c>
      <c r="T249" s="74">
        <v>19</v>
      </c>
      <c r="U249" s="74">
        <v>22.5</v>
      </c>
      <c r="V249" s="74">
        <v>25</v>
      </c>
    </row>
    <row r="250" spans="2:22" x14ac:dyDescent="0.2">
      <c r="B250" s="31">
        <v>46</v>
      </c>
      <c r="C250" s="35">
        <v>7.6</v>
      </c>
      <c r="D250" s="35">
        <v>10.199999999999999</v>
      </c>
      <c r="J250" s="17">
        <f t="shared" si="15"/>
        <v>101</v>
      </c>
      <c r="K250" s="18">
        <v>10</v>
      </c>
      <c r="L250" s="18">
        <v>12</v>
      </c>
      <c r="M250" s="18">
        <v>14.6041666666667</v>
      </c>
      <c r="N250" s="18">
        <v>17.6041666666667</v>
      </c>
      <c r="O250" s="18">
        <v>20</v>
      </c>
      <c r="Q250" s="75">
        <f t="shared" si="14"/>
        <v>101</v>
      </c>
      <c r="R250" s="74">
        <v>14</v>
      </c>
      <c r="S250" s="74">
        <v>16</v>
      </c>
      <c r="T250" s="74">
        <v>19</v>
      </c>
      <c r="U250" s="74">
        <v>22.5</v>
      </c>
      <c r="V250" s="74">
        <v>25</v>
      </c>
    </row>
    <row r="251" spans="2:22" x14ac:dyDescent="0.2">
      <c r="B251" s="31">
        <v>47</v>
      </c>
      <c r="C251" s="35">
        <v>7.6</v>
      </c>
      <c r="D251" s="35">
        <v>10.3</v>
      </c>
      <c r="J251" s="17">
        <f t="shared" si="15"/>
        <v>102</v>
      </c>
      <c r="K251" s="18">
        <v>10</v>
      </c>
      <c r="L251" s="18">
        <v>12</v>
      </c>
      <c r="M251" s="18">
        <v>14.625</v>
      </c>
      <c r="N251" s="18">
        <v>17.625</v>
      </c>
      <c r="O251" s="18">
        <v>20</v>
      </c>
      <c r="Q251" s="75">
        <f t="shared" si="14"/>
        <v>102</v>
      </c>
      <c r="R251" s="74">
        <v>14</v>
      </c>
      <c r="S251" s="74">
        <v>16</v>
      </c>
      <c r="T251" s="74">
        <v>19</v>
      </c>
      <c r="U251" s="74">
        <v>22.5</v>
      </c>
      <c r="V251" s="74">
        <v>25</v>
      </c>
    </row>
    <row r="252" spans="2:22" x14ac:dyDescent="0.2">
      <c r="B252" s="31">
        <v>48</v>
      </c>
      <c r="C252" s="35">
        <v>7.6</v>
      </c>
      <c r="D252" s="35">
        <v>10.3</v>
      </c>
      <c r="J252" s="17">
        <f t="shared" si="15"/>
        <v>103</v>
      </c>
      <c r="K252" s="18">
        <v>10</v>
      </c>
      <c r="L252" s="18">
        <v>12</v>
      </c>
      <c r="M252" s="18">
        <v>14.6458333333333</v>
      </c>
      <c r="N252" s="18">
        <v>17.6458333333333</v>
      </c>
      <c r="O252" s="18">
        <v>20</v>
      </c>
      <c r="Q252" s="75">
        <f t="shared" si="14"/>
        <v>103</v>
      </c>
      <c r="R252" s="74">
        <v>14</v>
      </c>
      <c r="S252" s="74">
        <v>16</v>
      </c>
      <c r="T252" s="74">
        <v>19</v>
      </c>
      <c r="U252" s="74">
        <v>22.5</v>
      </c>
      <c r="V252" s="74">
        <v>25</v>
      </c>
    </row>
    <row r="253" spans="2:22" x14ac:dyDescent="0.2">
      <c r="B253" s="31">
        <v>49</v>
      </c>
      <c r="C253" s="31">
        <v>7.7</v>
      </c>
      <c r="D253" s="35">
        <v>10.4</v>
      </c>
      <c r="J253" s="17">
        <f t="shared" si="15"/>
        <v>104</v>
      </c>
      <c r="K253" s="18">
        <v>10</v>
      </c>
      <c r="L253" s="18">
        <v>12</v>
      </c>
      <c r="M253" s="18">
        <v>14.6666666666667</v>
      </c>
      <c r="N253" s="18">
        <v>17.6666666666667</v>
      </c>
      <c r="O253" s="18">
        <v>20</v>
      </c>
      <c r="Q253" s="75">
        <f t="shared" si="14"/>
        <v>104</v>
      </c>
      <c r="R253" s="74">
        <v>14</v>
      </c>
      <c r="S253" s="74">
        <v>16</v>
      </c>
      <c r="T253" s="74">
        <v>19</v>
      </c>
      <c r="U253" s="74">
        <v>22.5</v>
      </c>
      <c r="V253" s="74">
        <v>25</v>
      </c>
    </row>
    <row r="254" spans="2:22" x14ac:dyDescent="0.2">
      <c r="B254" s="31">
        <v>50</v>
      </c>
      <c r="C254" s="31">
        <v>7.8</v>
      </c>
      <c r="D254" s="35">
        <v>10.4</v>
      </c>
      <c r="J254" s="17">
        <f t="shared" si="15"/>
        <v>105</v>
      </c>
      <c r="K254" s="18">
        <v>10</v>
      </c>
      <c r="L254" s="18">
        <v>12</v>
      </c>
      <c r="M254" s="18">
        <v>14.6875</v>
      </c>
      <c r="N254" s="18">
        <v>17.6875</v>
      </c>
      <c r="O254" s="18">
        <v>20</v>
      </c>
      <c r="Q254" s="75">
        <f t="shared" si="14"/>
        <v>105</v>
      </c>
      <c r="R254" s="74">
        <v>14</v>
      </c>
      <c r="S254" s="74">
        <v>16</v>
      </c>
      <c r="T254" s="74">
        <v>19</v>
      </c>
      <c r="U254" s="74">
        <v>22.5</v>
      </c>
      <c r="V254" s="74">
        <v>25</v>
      </c>
    </row>
    <row r="255" spans="2:22" x14ac:dyDescent="0.2">
      <c r="B255" s="31">
        <v>51</v>
      </c>
      <c r="C255" s="31">
        <v>8</v>
      </c>
      <c r="D255" s="35">
        <v>10.5</v>
      </c>
      <c r="J255" s="17">
        <f t="shared" si="15"/>
        <v>106</v>
      </c>
      <c r="K255" s="18">
        <v>10</v>
      </c>
      <c r="L255" s="18">
        <v>12</v>
      </c>
      <c r="M255" s="18">
        <v>14.7083333333333</v>
      </c>
      <c r="N255" s="18">
        <v>17.7083333333333</v>
      </c>
      <c r="O255" s="18">
        <v>20</v>
      </c>
      <c r="Q255" s="75">
        <f t="shared" si="14"/>
        <v>106</v>
      </c>
      <c r="R255" s="74">
        <v>14</v>
      </c>
      <c r="S255" s="74">
        <v>16</v>
      </c>
      <c r="T255" s="74">
        <v>19</v>
      </c>
      <c r="U255" s="74">
        <v>22.5</v>
      </c>
      <c r="V255" s="74">
        <v>25</v>
      </c>
    </row>
    <row r="256" spans="2:22" x14ac:dyDescent="0.2">
      <c r="B256" s="31">
        <v>52</v>
      </c>
      <c r="C256" s="31">
        <v>8.1</v>
      </c>
      <c r="D256" s="35">
        <v>10.5</v>
      </c>
      <c r="J256" s="17">
        <f t="shared" si="15"/>
        <v>107</v>
      </c>
      <c r="K256" s="18">
        <v>10</v>
      </c>
      <c r="L256" s="18">
        <v>12</v>
      </c>
      <c r="M256" s="18">
        <v>14.7291666666667</v>
      </c>
      <c r="N256" s="18">
        <v>17.7291666666667</v>
      </c>
      <c r="O256" s="18">
        <v>20</v>
      </c>
      <c r="Q256" s="75">
        <f t="shared" si="14"/>
        <v>107</v>
      </c>
      <c r="R256" s="74">
        <v>14</v>
      </c>
      <c r="S256" s="74">
        <v>16</v>
      </c>
      <c r="T256" s="74">
        <v>19</v>
      </c>
      <c r="U256" s="74">
        <v>22.5</v>
      </c>
      <c r="V256" s="74">
        <v>25</v>
      </c>
    </row>
    <row r="257" spans="2:22" x14ac:dyDescent="0.2">
      <c r="B257" s="31">
        <v>53</v>
      </c>
      <c r="C257" s="31">
        <v>8.3000000000000007</v>
      </c>
      <c r="D257" s="35">
        <v>10.6</v>
      </c>
      <c r="J257" s="17">
        <f t="shared" si="15"/>
        <v>108</v>
      </c>
      <c r="K257" s="18">
        <v>10</v>
      </c>
      <c r="L257" s="18">
        <v>12</v>
      </c>
      <c r="M257" s="18">
        <v>14.75</v>
      </c>
      <c r="N257" s="18">
        <v>17.75</v>
      </c>
      <c r="O257" s="18">
        <v>20</v>
      </c>
      <c r="Q257" s="75">
        <f t="shared" si="14"/>
        <v>108</v>
      </c>
      <c r="R257" s="74">
        <v>14</v>
      </c>
      <c r="S257" s="74">
        <v>16</v>
      </c>
      <c r="T257" s="74">
        <v>19</v>
      </c>
      <c r="U257" s="74">
        <v>22.5</v>
      </c>
      <c r="V257" s="74">
        <v>25</v>
      </c>
    </row>
    <row r="258" spans="2:22" x14ac:dyDescent="0.2">
      <c r="B258" s="31">
        <v>54</v>
      </c>
      <c r="C258" s="31">
        <v>8.4</v>
      </c>
      <c r="D258" s="35">
        <v>10.6</v>
      </c>
      <c r="J258" s="17">
        <f t="shared" si="15"/>
        <v>109</v>
      </c>
      <c r="K258" s="18">
        <v>10</v>
      </c>
      <c r="L258" s="18">
        <v>12</v>
      </c>
      <c r="M258" s="18">
        <v>14.7708333333333</v>
      </c>
      <c r="N258" s="18">
        <v>17.7708333333333</v>
      </c>
      <c r="O258" s="18">
        <v>20</v>
      </c>
      <c r="Q258" s="75">
        <f t="shared" si="14"/>
        <v>109</v>
      </c>
      <c r="R258" s="74">
        <v>14</v>
      </c>
      <c r="S258" s="74">
        <v>16</v>
      </c>
      <c r="T258" s="74">
        <v>19</v>
      </c>
      <c r="U258" s="74">
        <v>22.5</v>
      </c>
      <c r="V258" s="74">
        <v>25</v>
      </c>
    </row>
    <row r="259" spans="2:22" x14ac:dyDescent="0.2">
      <c r="B259" s="31">
        <v>55</v>
      </c>
      <c r="C259" s="31">
        <v>8.6</v>
      </c>
      <c r="D259" s="35">
        <v>10.7</v>
      </c>
      <c r="J259" s="17">
        <f t="shared" si="15"/>
        <v>110</v>
      </c>
      <c r="K259" s="18">
        <v>10</v>
      </c>
      <c r="L259" s="18">
        <v>12</v>
      </c>
      <c r="M259" s="18">
        <v>14.7916666666667</v>
      </c>
      <c r="N259" s="18">
        <v>17.7916666666667</v>
      </c>
      <c r="O259" s="18">
        <v>20</v>
      </c>
      <c r="Q259" s="75">
        <f t="shared" si="14"/>
        <v>110</v>
      </c>
      <c r="R259" s="74">
        <v>14</v>
      </c>
      <c r="S259" s="74">
        <v>16</v>
      </c>
      <c r="T259" s="74">
        <v>19</v>
      </c>
      <c r="U259" s="74">
        <v>22.5</v>
      </c>
      <c r="V259" s="74">
        <v>25</v>
      </c>
    </row>
    <row r="260" spans="2:22" x14ac:dyDescent="0.2">
      <c r="B260" s="31">
        <v>56</v>
      </c>
      <c r="C260" s="31">
        <v>8.6999999999999993</v>
      </c>
      <c r="D260" s="35">
        <v>10.8</v>
      </c>
      <c r="J260" s="17">
        <f t="shared" si="15"/>
        <v>111</v>
      </c>
      <c r="K260" s="18">
        <v>10</v>
      </c>
      <c r="L260" s="18">
        <v>12</v>
      </c>
      <c r="M260" s="18">
        <v>14.8125</v>
      </c>
      <c r="N260" s="18">
        <v>17.8125</v>
      </c>
      <c r="O260" s="18">
        <v>20</v>
      </c>
      <c r="Q260" s="75">
        <f t="shared" si="14"/>
        <v>111</v>
      </c>
      <c r="R260" s="74">
        <v>14</v>
      </c>
      <c r="S260" s="74">
        <v>16</v>
      </c>
      <c r="T260" s="74">
        <v>19</v>
      </c>
      <c r="U260" s="74">
        <v>22.5</v>
      </c>
      <c r="V260" s="74">
        <v>25</v>
      </c>
    </row>
    <row r="261" spans="2:22" x14ac:dyDescent="0.2">
      <c r="B261" s="31">
        <v>57</v>
      </c>
      <c r="C261" s="31">
        <v>8.9</v>
      </c>
      <c r="D261" s="35">
        <v>11</v>
      </c>
      <c r="J261" s="17">
        <f t="shared" si="15"/>
        <v>112</v>
      </c>
      <c r="K261" s="18">
        <v>10</v>
      </c>
      <c r="L261" s="18">
        <v>12</v>
      </c>
      <c r="M261" s="18">
        <v>14.8333333333333</v>
      </c>
      <c r="N261" s="18">
        <v>17.8333333333333</v>
      </c>
      <c r="O261" s="18">
        <v>20</v>
      </c>
      <c r="Q261" s="75">
        <f t="shared" si="14"/>
        <v>112</v>
      </c>
      <c r="R261" s="74">
        <v>14</v>
      </c>
      <c r="S261" s="74">
        <v>16</v>
      </c>
      <c r="T261" s="74">
        <v>19</v>
      </c>
      <c r="U261" s="74">
        <v>22.5</v>
      </c>
      <c r="V261" s="74">
        <v>25</v>
      </c>
    </row>
    <row r="262" spans="2:22" x14ac:dyDescent="0.2">
      <c r="B262" s="31">
        <v>58</v>
      </c>
      <c r="C262" s="31">
        <v>9</v>
      </c>
      <c r="D262" s="35">
        <v>11.1</v>
      </c>
      <c r="J262" s="17">
        <f t="shared" si="15"/>
        <v>113</v>
      </c>
      <c r="K262" s="18">
        <v>10</v>
      </c>
      <c r="L262" s="18">
        <v>12</v>
      </c>
      <c r="M262" s="18">
        <v>14.8541666666667</v>
      </c>
      <c r="N262" s="18">
        <v>17.8541666666667</v>
      </c>
      <c r="O262" s="18">
        <v>20</v>
      </c>
      <c r="Q262" s="75">
        <f t="shared" si="14"/>
        <v>113</v>
      </c>
      <c r="R262" s="74">
        <v>14</v>
      </c>
      <c r="S262" s="74">
        <v>16</v>
      </c>
      <c r="T262" s="74">
        <v>19</v>
      </c>
      <c r="U262" s="74">
        <v>22.5</v>
      </c>
      <c r="V262" s="74">
        <v>25</v>
      </c>
    </row>
    <row r="263" spans="2:22" x14ac:dyDescent="0.2">
      <c r="B263" s="31">
        <v>59</v>
      </c>
      <c r="C263" s="31">
        <v>9.1999999999999993</v>
      </c>
      <c r="D263" s="35">
        <v>11.2</v>
      </c>
      <c r="J263" s="17">
        <f t="shared" si="15"/>
        <v>114</v>
      </c>
      <c r="K263" s="18">
        <v>10</v>
      </c>
      <c r="L263" s="18">
        <v>12</v>
      </c>
      <c r="M263" s="18">
        <v>14.875</v>
      </c>
      <c r="N263" s="18">
        <v>17.875</v>
      </c>
      <c r="O263" s="18">
        <v>20</v>
      </c>
      <c r="Q263" s="75">
        <f t="shared" si="14"/>
        <v>114</v>
      </c>
      <c r="R263" s="74">
        <v>14</v>
      </c>
      <c r="S263" s="74">
        <v>16</v>
      </c>
      <c r="T263" s="74">
        <v>19</v>
      </c>
      <c r="U263" s="74">
        <v>22.5</v>
      </c>
      <c r="V263" s="74">
        <v>25</v>
      </c>
    </row>
    <row r="264" spans="2:22" x14ac:dyDescent="0.2">
      <c r="B264" s="31">
        <v>60</v>
      </c>
      <c r="C264" s="31">
        <v>9.3000000000000007</v>
      </c>
      <c r="D264" s="35">
        <v>11.3</v>
      </c>
      <c r="J264" s="17">
        <f t="shared" si="15"/>
        <v>115</v>
      </c>
      <c r="K264" s="18">
        <v>10</v>
      </c>
      <c r="L264" s="18">
        <v>12</v>
      </c>
      <c r="M264" s="18">
        <v>14.8958333333333</v>
      </c>
      <c r="N264" s="18">
        <v>17.8958333333333</v>
      </c>
      <c r="O264" s="18">
        <v>20</v>
      </c>
      <c r="Q264" s="75">
        <f t="shared" si="14"/>
        <v>115</v>
      </c>
      <c r="R264" s="74">
        <v>14</v>
      </c>
      <c r="S264" s="74">
        <v>16</v>
      </c>
      <c r="T264" s="74">
        <v>19</v>
      </c>
      <c r="U264" s="74">
        <v>22.5</v>
      </c>
      <c r="V264" s="74">
        <v>25</v>
      </c>
    </row>
    <row r="265" spans="2:22" x14ac:dyDescent="0.2">
      <c r="B265" s="31">
        <v>61</v>
      </c>
      <c r="C265" s="31">
        <v>9.4</v>
      </c>
      <c r="D265" s="35">
        <v>11.3</v>
      </c>
      <c r="J265" s="17">
        <f t="shared" si="15"/>
        <v>116</v>
      </c>
      <c r="K265" s="18">
        <v>10</v>
      </c>
      <c r="L265" s="18">
        <v>12</v>
      </c>
      <c r="M265" s="18">
        <v>14.9166666666667</v>
      </c>
      <c r="N265" s="18">
        <v>17.9166666666667</v>
      </c>
      <c r="O265" s="18">
        <v>20</v>
      </c>
      <c r="Q265" s="75">
        <f t="shared" si="14"/>
        <v>116</v>
      </c>
      <c r="R265" s="74">
        <v>14</v>
      </c>
      <c r="S265" s="74">
        <v>16</v>
      </c>
      <c r="T265" s="74">
        <v>19</v>
      </c>
      <c r="U265" s="74">
        <v>22.5</v>
      </c>
      <c r="V265" s="74">
        <v>25</v>
      </c>
    </row>
    <row r="266" spans="2:22" x14ac:dyDescent="0.2">
      <c r="B266" s="31">
        <v>62</v>
      </c>
      <c r="C266" s="31">
        <v>9.5</v>
      </c>
      <c r="D266" s="35">
        <v>11.4</v>
      </c>
      <c r="J266" s="17">
        <f t="shared" si="15"/>
        <v>117</v>
      </c>
      <c r="K266" s="18">
        <v>10</v>
      </c>
      <c r="L266" s="18">
        <v>12</v>
      </c>
      <c r="M266" s="18">
        <v>14.9375</v>
      </c>
      <c r="N266" s="18">
        <v>17.9375</v>
      </c>
      <c r="O266" s="18">
        <v>20</v>
      </c>
      <c r="Q266" s="75">
        <f t="shared" si="14"/>
        <v>117</v>
      </c>
      <c r="R266" s="74">
        <v>14</v>
      </c>
      <c r="S266" s="74">
        <v>16</v>
      </c>
      <c r="T266" s="74">
        <v>19</v>
      </c>
      <c r="U266" s="74">
        <v>22.5</v>
      </c>
      <c r="V266" s="74">
        <v>25</v>
      </c>
    </row>
    <row r="267" spans="2:22" x14ac:dyDescent="0.2">
      <c r="B267" s="31">
        <v>63</v>
      </c>
      <c r="C267" s="31">
        <v>9.6</v>
      </c>
      <c r="D267" s="35">
        <v>11.4</v>
      </c>
      <c r="J267" s="17">
        <f t="shared" si="15"/>
        <v>118</v>
      </c>
      <c r="K267" s="18">
        <v>10</v>
      </c>
      <c r="L267" s="18">
        <v>12</v>
      </c>
      <c r="M267" s="18">
        <v>14.9583333333333</v>
      </c>
      <c r="N267" s="18">
        <v>17.9583333333333</v>
      </c>
      <c r="O267" s="18">
        <v>20</v>
      </c>
      <c r="Q267" s="75">
        <f t="shared" si="14"/>
        <v>118</v>
      </c>
      <c r="R267" s="74">
        <v>14</v>
      </c>
      <c r="S267" s="74">
        <v>16</v>
      </c>
      <c r="T267" s="74">
        <v>19</v>
      </c>
      <c r="U267" s="74">
        <v>22.5</v>
      </c>
      <c r="V267" s="74">
        <v>25</v>
      </c>
    </row>
    <row r="268" spans="2:22" x14ac:dyDescent="0.2">
      <c r="B268" s="31">
        <v>64</v>
      </c>
      <c r="C268" s="31">
        <v>9.6</v>
      </c>
      <c r="D268" s="35">
        <v>11.4</v>
      </c>
      <c r="J268" s="17">
        <f t="shared" si="15"/>
        <v>119</v>
      </c>
      <c r="K268" s="18">
        <v>10</v>
      </c>
      <c r="L268" s="18">
        <v>12</v>
      </c>
      <c r="M268" s="18">
        <v>14.9791666666667</v>
      </c>
      <c r="N268" s="18">
        <v>17.9791666666667</v>
      </c>
      <c r="O268" s="18">
        <v>20</v>
      </c>
      <c r="Q268" s="75">
        <f t="shared" si="14"/>
        <v>119</v>
      </c>
      <c r="R268" s="74">
        <v>14</v>
      </c>
      <c r="S268" s="74">
        <v>16</v>
      </c>
      <c r="T268" s="74">
        <v>19</v>
      </c>
      <c r="U268" s="74">
        <v>22.5</v>
      </c>
      <c r="V268" s="74">
        <v>25</v>
      </c>
    </row>
    <row r="269" spans="2:22" x14ac:dyDescent="0.2">
      <c r="B269" s="31">
        <v>65</v>
      </c>
      <c r="C269" s="31">
        <v>9.6999999999999993</v>
      </c>
      <c r="D269" s="35">
        <v>11.5</v>
      </c>
      <c r="J269" s="17">
        <f t="shared" si="15"/>
        <v>120</v>
      </c>
      <c r="K269" s="18">
        <v>10</v>
      </c>
      <c r="L269" s="18">
        <v>12</v>
      </c>
      <c r="M269" s="18">
        <v>15</v>
      </c>
      <c r="N269" s="18">
        <v>18</v>
      </c>
      <c r="O269" s="18">
        <v>20</v>
      </c>
      <c r="Q269" s="75">
        <f t="shared" si="14"/>
        <v>120</v>
      </c>
      <c r="R269" s="74">
        <v>14</v>
      </c>
      <c r="S269" s="74">
        <v>16</v>
      </c>
      <c r="T269" s="74">
        <v>19</v>
      </c>
      <c r="U269" s="74">
        <v>22.5</v>
      </c>
      <c r="V269" s="74">
        <v>25</v>
      </c>
    </row>
    <row r="270" spans="2:22" x14ac:dyDescent="0.2">
      <c r="B270" s="31">
        <v>66</v>
      </c>
      <c r="C270" s="31">
        <v>9.8000000000000007</v>
      </c>
      <c r="D270" s="35">
        <v>11.5</v>
      </c>
    </row>
    <row r="271" spans="2:22" x14ac:dyDescent="0.2">
      <c r="B271" s="31">
        <v>67</v>
      </c>
      <c r="C271" s="31">
        <v>9.8000000000000007</v>
      </c>
      <c r="D271" s="35">
        <v>11.5</v>
      </c>
    </row>
    <row r="272" spans="2:22" x14ac:dyDescent="0.2">
      <c r="B272" s="31">
        <v>68</v>
      </c>
      <c r="C272" s="31">
        <v>9.8000000000000007</v>
      </c>
      <c r="D272" s="35">
        <v>11.5</v>
      </c>
    </row>
    <row r="273" spans="2:4" x14ac:dyDescent="0.2">
      <c r="B273" s="31">
        <v>69</v>
      </c>
      <c r="C273" s="31">
        <v>9.9</v>
      </c>
      <c r="D273" s="35">
        <v>11.6</v>
      </c>
    </row>
    <row r="274" spans="2:4" x14ac:dyDescent="0.2">
      <c r="B274" s="31">
        <v>70</v>
      </c>
      <c r="C274" s="31">
        <v>9.9</v>
      </c>
      <c r="D274" s="35">
        <v>11.6</v>
      </c>
    </row>
    <row r="275" spans="2:4" x14ac:dyDescent="0.2">
      <c r="B275" s="31">
        <v>71</v>
      </c>
      <c r="C275" s="31">
        <v>9.9</v>
      </c>
      <c r="D275" s="35">
        <v>11.6</v>
      </c>
    </row>
    <row r="276" spans="2:4" x14ac:dyDescent="0.2">
      <c r="B276" s="31">
        <v>72</v>
      </c>
      <c r="C276" s="31">
        <v>9.9</v>
      </c>
      <c r="D276" s="35">
        <v>11.6</v>
      </c>
    </row>
    <row r="277" spans="2:4" x14ac:dyDescent="0.2">
      <c r="B277" s="31">
        <v>73</v>
      </c>
      <c r="C277" s="31">
        <v>10</v>
      </c>
      <c r="D277" s="35">
        <v>11.7</v>
      </c>
    </row>
    <row r="278" spans="2:4" x14ac:dyDescent="0.2">
      <c r="B278" s="31">
        <v>74</v>
      </c>
      <c r="C278" s="31">
        <v>10</v>
      </c>
      <c r="D278" s="35">
        <v>11.8</v>
      </c>
    </row>
    <row r="279" spans="2:4" x14ac:dyDescent="0.2">
      <c r="B279" s="31">
        <v>75</v>
      </c>
      <c r="C279" s="31">
        <v>10.1</v>
      </c>
      <c r="D279" s="35">
        <v>11.9</v>
      </c>
    </row>
    <row r="280" spans="2:4" x14ac:dyDescent="0.2">
      <c r="B280" s="31">
        <v>76</v>
      </c>
      <c r="C280" s="31">
        <v>10.1</v>
      </c>
      <c r="D280" s="35">
        <v>11.9</v>
      </c>
    </row>
    <row r="281" spans="2:4" x14ac:dyDescent="0.2">
      <c r="B281" s="31">
        <v>77</v>
      </c>
      <c r="C281" s="31">
        <v>10.199999999999999</v>
      </c>
      <c r="D281" s="35">
        <v>12</v>
      </c>
    </row>
    <row r="282" spans="2:4" x14ac:dyDescent="0.2">
      <c r="B282" s="31">
        <v>78</v>
      </c>
      <c r="C282" s="31">
        <v>10.199999999999999</v>
      </c>
      <c r="D282" s="35">
        <v>12.1</v>
      </c>
    </row>
    <row r="283" spans="2:4" x14ac:dyDescent="0.2">
      <c r="B283" s="31">
        <v>79</v>
      </c>
      <c r="C283" s="31">
        <v>10.3</v>
      </c>
      <c r="D283" s="35">
        <v>12.2</v>
      </c>
    </row>
    <row r="284" spans="2:4" x14ac:dyDescent="0.2">
      <c r="B284" s="31">
        <v>80</v>
      </c>
      <c r="C284" s="31">
        <v>10.4</v>
      </c>
      <c r="D284" s="35">
        <v>12.2</v>
      </c>
    </row>
    <row r="285" spans="2:4" x14ac:dyDescent="0.2">
      <c r="B285" s="31">
        <v>81</v>
      </c>
      <c r="C285" s="31">
        <v>10.5</v>
      </c>
      <c r="D285" s="35">
        <v>12.3</v>
      </c>
    </row>
    <row r="286" spans="2:4" x14ac:dyDescent="0.2">
      <c r="B286" s="31">
        <v>82</v>
      </c>
      <c r="C286" s="31">
        <v>10.5</v>
      </c>
      <c r="D286" s="35">
        <v>12.3</v>
      </c>
    </row>
    <row r="287" spans="2:4" x14ac:dyDescent="0.2">
      <c r="B287" s="31">
        <v>83</v>
      </c>
      <c r="C287" s="31">
        <v>10.6</v>
      </c>
      <c r="D287" s="35">
        <v>12.4</v>
      </c>
    </row>
    <row r="288" spans="2:4" x14ac:dyDescent="0.2">
      <c r="B288" s="31">
        <v>84</v>
      </c>
      <c r="C288" s="31">
        <v>10.7</v>
      </c>
      <c r="D288" s="35">
        <v>12.4</v>
      </c>
    </row>
    <row r="289" spans="2:4" x14ac:dyDescent="0.2">
      <c r="B289" s="31">
        <v>85</v>
      </c>
      <c r="C289" s="31">
        <v>10.7</v>
      </c>
      <c r="D289" s="35">
        <v>12.4</v>
      </c>
    </row>
    <row r="290" spans="2:4" x14ac:dyDescent="0.2">
      <c r="B290" s="31">
        <v>86</v>
      </c>
      <c r="C290" s="31">
        <v>10.8</v>
      </c>
      <c r="D290" s="35">
        <v>12.4</v>
      </c>
    </row>
    <row r="291" spans="2:4" x14ac:dyDescent="0.2">
      <c r="B291" s="31">
        <v>87</v>
      </c>
      <c r="C291" s="31">
        <v>10.8</v>
      </c>
      <c r="D291" s="35">
        <v>12.4</v>
      </c>
    </row>
    <row r="292" spans="2:4" x14ac:dyDescent="0.2">
      <c r="B292" s="31">
        <v>88</v>
      </c>
      <c r="C292" s="31">
        <v>10.8</v>
      </c>
      <c r="D292" s="35">
        <v>12.4</v>
      </c>
    </row>
    <row r="293" spans="2:4" x14ac:dyDescent="0.2">
      <c r="B293" s="31">
        <v>89</v>
      </c>
      <c r="C293" s="31">
        <v>10.9</v>
      </c>
      <c r="D293" s="35">
        <v>12.4</v>
      </c>
    </row>
    <row r="294" spans="2:4" x14ac:dyDescent="0.2">
      <c r="B294" s="31">
        <v>90</v>
      </c>
      <c r="C294" s="31">
        <v>10.9</v>
      </c>
      <c r="D294" s="35">
        <v>12.4</v>
      </c>
    </row>
    <row r="295" spans="2:4" x14ac:dyDescent="0.2">
      <c r="B295" s="31">
        <v>91</v>
      </c>
      <c r="C295" s="31">
        <v>10.9</v>
      </c>
      <c r="D295" s="35">
        <v>12.5</v>
      </c>
    </row>
    <row r="296" spans="2:4" x14ac:dyDescent="0.2">
      <c r="B296" s="31">
        <v>92</v>
      </c>
      <c r="C296" s="31">
        <v>10.9</v>
      </c>
      <c r="D296" s="35">
        <v>12.5</v>
      </c>
    </row>
    <row r="297" spans="2:4" x14ac:dyDescent="0.2">
      <c r="B297" s="31">
        <v>93</v>
      </c>
      <c r="C297" s="31">
        <v>10.9</v>
      </c>
      <c r="D297" s="35">
        <v>12.6</v>
      </c>
    </row>
    <row r="298" spans="2:4" x14ac:dyDescent="0.2">
      <c r="B298" s="31">
        <v>94</v>
      </c>
      <c r="C298" s="31">
        <v>10.9</v>
      </c>
      <c r="D298" s="35">
        <v>12.6</v>
      </c>
    </row>
    <row r="299" spans="2:4" x14ac:dyDescent="0.2">
      <c r="B299" s="33">
        <v>95</v>
      </c>
      <c r="C299" s="33">
        <v>10.9</v>
      </c>
      <c r="D299" s="36">
        <v>12.7</v>
      </c>
    </row>
    <row r="300" spans="2:4" x14ac:dyDescent="0.2">
      <c r="B300" s="32">
        <v>96</v>
      </c>
      <c r="C300" s="32">
        <v>10.9</v>
      </c>
      <c r="D300" s="37">
        <v>12.7</v>
      </c>
    </row>
    <row r="303" spans="2:4" x14ac:dyDescent="0.2">
      <c r="B303">
        <v>1</v>
      </c>
    </row>
    <row r="304" spans="2:4" x14ac:dyDescent="0.2">
      <c r="B304">
        <f>B303+1</f>
        <v>2</v>
      </c>
    </row>
    <row r="305" spans="2:2" x14ac:dyDescent="0.2">
      <c r="B305">
        <f t="shared" ref="B305:B368" si="16">B304+1</f>
        <v>3</v>
      </c>
    </row>
    <row r="306" spans="2:2" x14ac:dyDescent="0.2">
      <c r="B306">
        <f t="shared" si="16"/>
        <v>4</v>
      </c>
    </row>
    <row r="307" spans="2:2" x14ac:dyDescent="0.2">
      <c r="B307">
        <f t="shared" si="16"/>
        <v>5</v>
      </c>
    </row>
    <row r="308" spans="2:2" x14ac:dyDescent="0.2">
      <c r="B308">
        <f t="shared" si="16"/>
        <v>6</v>
      </c>
    </row>
    <row r="309" spans="2:2" x14ac:dyDescent="0.2">
      <c r="B309">
        <f t="shared" si="16"/>
        <v>7</v>
      </c>
    </row>
    <row r="310" spans="2:2" x14ac:dyDescent="0.2">
      <c r="B310">
        <f t="shared" si="16"/>
        <v>8</v>
      </c>
    </row>
    <row r="311" spans="2:2" x14ac:dyDescent="0.2">
      <c r="B311">
        <f t="shared" si="16"/>
        <v>9</v>
      </c>
    </row>
    <row r="312" spans="2:2" x14ac:dyDescent="0.2">
      <c r="B312">
        <f t="shared" si="16"/>
        <v>10</v>
      </c>
    </row>
    <row r="313" spans="2:2" x14ac:dyDescent="0.2">
      <c r="B313">
        <f t="shared" si="16"/>
        <v>11</v>
      </c>
    </row>
    <row r="314" spans="2:2" x14ac:dyDescent="0.2">
      <c r="B314">
        <f t="shared" si="16"/>
        <v>12</v>
      </c>
    </row>
    <row r="315" spans="2:2" x14ac:dyDescent="0.2">
      <c r="B315">
        <f t="shared" si="16"/>
        <v>13</v>
      </c>
    </row>
    <row r="316" spans="2:2" x14ac:dyDescent="0.2">
      <c r="B316">
        <f t="shared" si="16"/>
        <v>14</v>
      </c>
    </row>
    <row r="317" spans="2:2" x14ac:dyDescent="0.2">
      <c r="B317">
        <f t="shared" si="16"/>
        <v>15</v>
      </c>
    </row>
    <row r="318" spans="2:2" x14ac:dyDescent="0.2">
      <c r="B318">
        <f t="shared" si="16"/>
        <v>16</v>
      </c>
    </row>
    <row r="319" spans="2:2" x14ac:dyDescent="0.2">
      <c r="B319">
        <f t="shared" si="16"/>
        <v>17</v>
      </c>
    </row>
    <row r="320" spans="2:2" x14ac:dyDescent="0.2">
      <c r="B320">
        <f t="shared" si="16"/>
        <v>18</v>
      </c>
    </row>
    <row r="321" spans="2:2" x14ac:dyDescent="0.2">
      <c r="B321">
        <f t="shared" si="16"/>
        <v>19</v>
      </c>
    </row>
    <row r="322" spans="2:2" x14ac:dyDescent="0.2">
      <c r="B322">
        <f t="shared" si="16"/>
        <v>20</v>
      </c>
    </row>
    <row r="323" spans="2:2" x14ac:dyDescent="0.2">
      <c r="B323">
        <f t="shared" si="16"/>
        <v>21</v>
      </c>
    </row>
    <row r="324" spans="2:2" x14ac:dyDescent="0.2">
      <c r="B324">
        <f t="shared" si="16"/>
        <v>22</v>
      </c>
    </row>
    <row r="325" spans="2:2" x14ac:dyDescent="0.2">
      <c r="B325">
        <f t="shared" si="16"/>
        <v>23</v>
      </c>
    </row>
    <row r="326" spans="2:2" x14ac:dyDescent="0.2">
      <c r="B326">
        <f t="shared" si="16"/>
        <v>24</v>
      </c>
    </row>
    <row r="327" spans="2:2" x14ac:dyDescent="0.2">
      <c r="B327">
        <f t="shared" si="16"/>
        <v>25</v>
      </c>
    </row>
    <row r="328" spans="2:2" x14ac:dyDescent="0.2">
      <c r="B328">
        <f t="shared" si="16"/>
        <v>26</v>
      </c>
    </row>
    <row r="329" spans="2:2" x14ac:dyDescent="0.2">
      <c r="B329">
        <f t="shared" si="16"/>
        <v>27</v>
      </c>
    </row>
    <row r="330" spans="2:2" x14ac:dyDescent="0.2">
      <c r="B330">
        <f t="shared" si="16"/>
        <v>28</v>
      </c>
    </row>
    <row r="331" spans="2:2" x14ac:dyDescent="0.2">
      <c r="B331">
        <f t="shared" si="16"/>
        <v>29</v>
      </c>
    </row>
    <row r="332" spans="2:2" x14ac:dyDescent="0.2">
      <c r="B332">
        <f t="shared" si="16"/>
        <v>30</v>
      </c>
    </row>
    <row r="333" spans="2:2" x14ac:dyDescent="0.2">
      <c r="B333">
        <f t="shared" si="16"/>
        <v>31</v>
      </c>
    </row>
    <row r="334" spans="2:2" x14ac:dyDescent="0.2">
      <c r="B334">
        <f t="shared" si="16"/>
        <v>32</v>
      </c>
    </row>
    <row r="335" spans="2:2" x14ac:dyDescent="0.2">
      <c r="B335">
        <f t="shared" si="16"/>
        <v>33</v>
      </c>
    </row>
    <row r="336" spans="2:2" x14ac:dyDescent="0.2">
      <c r="B336">
        <f t="shared" si="16"/>
        <v>34</v>
      </c>
    </row>
    <row r="337" spans="2:2" x14ac:dyDescent="0.2">
      <c r="B337">
        <f t="shared" si="16"/>
        <v>35</v>
      </c>
    </row>
    <row r="338" spans="2:2" x14ac:dyDescent="0.2">
      <c r="B338">
        <f t="shared" si="16"/>
        <v>36</v>
      </c>
    </row>
    <row r="339" spans="2:2" x14ac:dyDescent="0.2">
      <c r="B339">
        <f t="shared" si="16"/>
        <v>37</v>
      </c>
    </row>
    <row r="340" spans="2:2" x14ac:dyDescent="0.2">
      <c r="B340">
        <f t="shared" si="16"/>
        <v>38</v>
      </c>
    </row>
    <row r="341" spans="2:2" x14ac:dyDescent="0.2">
      <c r="B341">
        <f t="shared" si="16"/>
        <v>39</v>
      </c>
    </row>
    <row r="342" spans="2:2" x14ac:dyDescent="0.2">
      <c r="B342">
        <f t="shared" si="16"/>
        <v>40</v>
      </c>
    </row>
    <row r="343" spans="2:2" x14ac:dyDescent="0.2">
      <c r="B343">
        <f t="shared" si="16"/>
        <v>41</v>
      </c>
    </row>
    <row r="344" spans="2:2" x14ac:dyDescent="0.2">
      <c r="B344">
        <f t="shared" si="16"/>
        <v>42</v>
      </c>
    </row>
    <row r="345" spans="2:2" x14ac:dyDescent="0.2">
      <c r="B345">
        <f t="shared" si="16"/>
        <v>43</v>
      </c>
    </row>
    <row r="346" spans="2:2" x14ac:dyDescent="0.2">
      <c r="B346">
        <f t="shared" si="16"/>
        <v>44</v>
      </c>
    </row>
    <row r="347" spans="2:2" x14ac:dyDescent="0.2">
      <c r="B347">
        <f t="shared" si="16"/>
        <v>45</v>
      </c>
    </row>
    <row r="348" spans="2:2" x14ac:dyDescent="0.2">
      <c r="B348">
        <f t="shared" si="16"/>
        <v>46</v>
      </c>
    </row>
    <row r="349" spans="2:2" x14ac:dyDescent="0.2">
      <c r="B349">
        <f t="shared" si="16"/>
        <v>47</v>
      </c>
    </row>
    <row r="350" spans="2:2" x14ac:dyDescent="0.2">
      <c r="B350">
        <f t="shared" si="16"/>
        <v>48</v>
      </c>
    </row>
    <row r="351" spans="2:2" x14ac:dyDescent="0.2">
      <c r="B351">
        <f t="shared" si="16"/>
        <v>49</v>
      </c>
    </row>
    <row r="352" spans="2:2" x14ac:dyDescent="0.2">
      <c r="B352">
        <f t="shared" si="16"/>
        <v>50</v>
      </c>
    </row>
    <row r="353" spans="2:2" x14ac:dyDescent="0.2">
      <c r="B353">
        <f t="shared" si="16"/>
        <v>51</v>
      </c>
    </row>
    <row r="354" spans="2:2" x14ac:dyDescent="0.2">
      <c r="B354">
        <f t="shared" si="16"/>
        <v>52</v>
      </c>
    </row>
    <row r="355" spans="2:2" x14ac:dyDescent="0.2">
      <c r="B355">
        <f t="shared" si="16"/>
        <v>53</v>
      </c>
    </row>
    <row r="356" spans="2:2" x14ac:dyDescent="0.2">
      <c r="B356">
        <f t="shared" si="16"/>
        <v>54</v>
      </c>
    </row>
    <row r="357" spans="2:2" x14ac:dyDescent="0.2">
      <c r="B357">
        <f t="shared" si="16"/>
        <v>55</v>
      </c>
    </row>
    <row r="358" spans="2:2" x14ac:dyDescent="0.2">
      <c r="B358">
        <f t="shared" si="16"/>
        <v>56</v>
      </c>
    </row>
    <row r="359" spans="2:2" x14ac:dyDescent="0.2">
      <c r="B359">
        <f t="shared" si="16"/>
        <v>57</v>
      </c>
    </row>
    <row r="360" spans="2:2" x14ac:dyDescent="0.2">
      <c r="B360">
        <f t="shared" si="16"/>
        <v>58</v>
      </c>
    </row>
    <row r="361" spans="2:2" x14ac:dyDescent="0.2">
      <c r="B361">
        <f t="shared" si="16"/>
        <v>59</v>
      </c>
    </row>
    <row r="362" spans="2:2" x14ac:dyDescent="0.2">
      <c r="B362">
        <f t="shared" si="16"/>
        <v>60</v>
      </c>
    </row>
    <row r="363" spans="2:2" x14ac:dyDescent="0.2">
      <c r="B363">
        <f t="shared" si="16"/>
        <v>61</v>
      </c>
    </row>
    <row r="364" spans="2:2" x14ac:dyDescent="0.2">
      <c r="B364">
        <f t="shared" si="16"/>
        <v>62</v>
      </c>
    </row>
    <row r="365" spans="2:2" x14ac:dyDescent="0.2">
      <c r="B365">
        <f t="shared" si="16"/>
        <v>63</v>
      </c>
    </row>
    <row r="366" spans="2:2" x14ac:dyDescent="0.2">
      <c r="B366">
        <f t="shared" si="16"/>
        <v>64</v>
      </c>
    </row>
    <row r="367" spans="2:2" x14ac:dyDescent="0.2">
      <c r="B367">
        <f t="shared" si="16"/>
        <v>65</v>
      </c>
    </row>
    <row r="368" spans="2:2" x14ac:dyDescent="0.2">
      <c r="B368">
        <f t="shared" si="16"/>
        <v>66</v>
      </c>
    </row>
    <row r="369" spans="2:2" x14ac:dyDescent="0.2">
      <c r="B369">
        <f t="shared" ref="B369:B422" si="17">B368+1</f>
        <v>67</v>
      </c>
    </row>
    <row r="370" spans="2:2" x14ac:dyDescent="0.2">
      <c r="B370">
        <f t="shared" si="17"/>
        <v>68</v>
      </c>
    </row>
    <row r="371" spans="2:2" x14ac:dyDescent="0.2">
      <c r="B371">
        <f t="shared" si="17"/>
        <v>69</v>
      </c>
    </row>
    <row r="372" spans="2:2" x14ac:dyDescent="0.2">
      <c r="B372">
        <f t="shared" si="17"/>
        <v>70</v>
      </c>
    </row>
    <row r="373" spans="2:2" x14ac:dyDescent="0.2">
      <c r="B373">
        <f t="shared" si="17"/>
        <v>71</v>
      </c>
    </row>
    <row r="374" spans="2:2" x14ac:dyDescent="0.2">
      <c r="B374">
        <f t="shared" si="17"/>
        <v>72</v>
      </c>
    </row>
    <row r="375" spans="2:2" x14ac:dyDescent="0.2">
      <c r="B375">
        <f t="shared" si="17"/>
        <v>73</v>
      </c>
    </row>
    <row r="376" spans="2:2" x14ac:dyDescent="0.2">
      <c r="B376">
        <f t="shared" si="17"/>
        <v>74</v>
      </c>
    </row>
    <row r="377" spans="2:2" x14ac:dyDescent="0.2">
      <c r="B377">
        <f t="shared" si="17"/>
        <v>75</v>
      </c>
    </row>
    <row r="378" spans="2:2" x14ac:dyDescent="0.2">
      <c r="B378">
        <f t="shared" si="17"/>
        <v>76</v>
      </c>
    </row>
    <row r="379" spans="2:2" x14ac:dyDescent="0.2">
      <c r="B379">
        <f t="shared" si="17"/>
        <v>77</v>
      </c>
    </row>
    <row r="380" spans="2:2" x14ac:dyDescent="0.2">
      <c r="B380">
        <f t="shared" si="17"/>
        <v>78</v>
      </c>
    </row>
    <row r="381" spans="2:2" x14ac:dyDescent="0.2">
      <c r="B381">
        <f t="shared" si="17"/>
        <v>79</v>
      </c>
    </row>
    <row r="382" spans="2:2" x14ac:dyDescent="0.2">
      <c r="B382">
        <f t="shared" si="17"/>
        <v>80</v>
      </c>
    </row>
    <row r="383" spans="2:2" x14ac:dyDescent="0.2">
      <c r="B383">
        <f t="shared" si="17"/>
        <v>81</v>
      </c>
    </row>
    <row r="384" spans="2:2" x14ac:dyDescent="0.2">
      <c r="B384">
        <f t="shared" si="17"/>
        <v>82</v>
      </c>
    </row>
    <row r="385" spans="2:2" x14ac:dyDescent="0.2">
      <c r="B385">
        <f t="shared" si="17"/>
        <v>83</v>
      </c>
    </row>
    <row r="386" spans="2:2" x14ac:dyDescent="0.2">
      <c r="B386">
        <f t="shared" si="17"/>
        <v>84</v>
      </c>
    </row>
    <row r="387" spans="2:2" x14ac:dyDescent="0.2">
      <c r="B387">
        <f t="shared" si="17"/>
        <v>85</v>
      </c>
    </row>
    <row r="388" spans="2:2" x14ac:dyDescent="0.2">
      <c r="B388">
        <f t="shared" si="17"/>
        <v>86</v>
      </c>
    </row>
    <row r="389" spans="2:2" x14ac:dyDescent="0.2">
      <c r="B389">
        <f t="shared" si="17"/>
        <v>87</v>
      </c>
    </row>
    <row r="390" spans="2:2" x14ac:dyDescent="0.2">
      <c r="B390">
        <f t="shared" si="17"/>
        <v>88</v>
      </c>
    </row>
    <row r="391" spans="2:2" x14ac:dyDescent="0.2">
      <c r="B391">
        <f t="shared" si="17"/>
        <v>89</v>
      </c>
    </row>
    <row r="392" spans="2:2" x14ac:dyDescent="0.2">
      <c r="B392">
        <f t="shared" si="17"/>
        <v>90</v>
      </c>
    </row>
    <row r="393" spans="2:2" x14ac:dyDescent="0.2">
      <c r="B393">
        <f t="shared" si="17"/>
        <v>91</v>
      </c>
    </row>
    <row r="394" spans="2:2" x14ac:dyDescent="0.2">
      <c r="B394">
        <f t="shared" si="17"/>
        <v>92</v>
      </c>
    </row>
    <row r="395" spans="2:2" x14ac:dyDescent="0.2">
      <c r="B395">
        <f t="shared" si="17"/>
        <v>93</v>
      </c>
    </row>
    <row r="396" spans="2:2" x14ac:dyDescent="0.2">
      <c r="B396">
        <f t="shared" si="17"/>
        <v>94</v>
      </c>
    </row>
    <row r="397" spans="2:2" x14ac:dyDescent="0.2">
      <c r="B397">
        <f t="shared" si="17"/>
        <v>95</v>
      </c>
    </row>
    <row r="398" spans="2:2" x14ac:dyDescent="0.2">
      <c r="B398">
        <f t="shared" si="17"/>
        <v>96</v>
      </c>
    </row>
    <row r="399" spans="2:2" x14ac:dyDescent="0.2">
      <c r="B399">
        <f t="shared" si="17"/>
        <v>97</v>
      </c>
    </row>
    <row r="400" spans="2:2" x14ac:dyDescent="0.2">
      <c r="B400">
        <f t="shared" si="17"/>
        <v>98</v>
      </c>
    </row>
    <row r="401" spans="2:2" x14ac:dyDescent="0.2">
      <c r="B401">
        <f t="shared" si="17"/>
        <v>99</v>
      </c>
    </row>
    <row r="402" spans="2:2" x14ac:dyDescent="0.2">
      <c r="B402">
        <f t="shared" si="17"/>
        <v>100</v>
      </c>
    </row>
    <row r="403" spans="2:2" x14ac:dyDescent="0.2">
      <c r="B403">
        <f t="shared" si="17"/>
        <v>101</v>
      </c>
    </row>
    <row r="404" spans="2:2" x14ac:dyDescent="0.2">
      <c r="B404">
        <f t="shared" si="17"/>
        <v>102</v>
      </c>
    </row>
    <row r="405" spans="2:2" x14ac:dyDescent="0.2">
      <c r="B405">
        <f t="shared" si="17"/>
        <v>103</v>
      </c>
    </row>
    <row r="406" spans="2:2" x14ac:dyDescent="0.2">
      <c r="B406">
        <f t="shared" si="17"/>
        <v>104</v>
      </c>
    </row>
    <row r="407" spans="2:2" x14ac:dyDescent="0.2">
      <c r="B407">
        <f t="shared" si="17"/>
        <v>105</v>
      </c>
    </row>
    <row r="408" spans="2:2" x14ac:dyDescent="0.2">
      <c r="B408">
        <f t="shared" si="17"/>
        <v>106</v>
      </c>
    </row>
    <row r="409" spans="2:2" x14ac:dyDescent="0.2">
      <c r="B409">
        <f t="shared" si="17"/>
        <v>107</v>
      </c>
    </row>
    <row r="410" spans="2:2" x14ac:dyDescent="0.2">
      <c r="B410">
        <f t="shared" si="17"/>
        <v>108</v>
      </c>
    </row>
    <row r="411" spans="2:2" x14ac:dyDescent="0.2">
      <c r="B411">
        <f t="shared" si="17"/>
        <v>109</v>
      </c>
    </row>
    <row r="412" spans="2:2" x14ac:dyDescent="0.2">
      <c r="B412">
        <f t="shared" si="17"/>
        <v>110</v>
      </c>
    </row>
    <row r="413" spans="2:2" x14ac:dyDescent="0.2">
      <c r="B413">
        <f t="shared" si="17"/>
        <v>111</v>
      </c>
    </row>
    <row r="414" spans="2:2" x14ac:dyDescent="0.2">
      <c r="B414">
        <f t="shared" si="17"/>
        <v>112</v>
      </c>
    </row>
    <row r="415" spans="2:2" x14ac:dyDescent="0.2">
      <c r="B415">
        <f t="shared" si="17"/>
        <v>113</v>
      </c>
    </row>
    <row r="416" spans="2:2" x14ac:dyDescent="0.2">
      <c r="B416">
        <f t="shared" si="17"/>
        <v>114</v>
      </c>
    </row>
    <row r="417" spans="2:2" x14ac:dyDescent="0.2">
      <c r="B417">
        <f t="shared" si="17"/>
        <v>115</v>
      </c>
    </row>
    <row r="418" spans="2:2" x14ac:dyDescent="0.2">
      <c r="B418">
        <f t="shared" si="17"/>
        <v>116</v>
      </c>
    </row>
    <row r="419" spans="2:2" x14ac:dyDescent="0.2">
      <c r="B419">
        <f t="shared" si="17"/>
        <v>117</v>
      </c>
    </row>
    <row r="420" spans="2:2" x14ac:dyDescent="0.2">
      <c r="B420">
        <f t="shared" si="17"/>
        <v>118</v>
      </c>
    </row>
    <row r="421" spans="2:2" x14ac:dyDescent="0.2">
      <c r="B421">
        <f t="shared" si="17"/>
        <v>119</v>
      </c>
    </row>
    <row r="422" spans="2:2" x14ac:dyDescent="0.2">
      <c r="B422">
        <f t="shared" si="17"/>
        <v>120</v>
      </c>
    </row>
  </sheetData>
  <sheetProtection sheet="1" objects="1" scenarios="1"/>
  <mergeCells count="3">
    <mergeCell ref="B147:C147"/>
    <mergeCell ref="J147:K147"/>
    <mergeCell ref="B226:C226"/>
  </mergeCells>
  <pageMargins left="0.7" right="0.7" top="0.75" bottom="0.75" header="0.3" footer="0.3"/>
  <pageSetup paperSize="9" orientation="portrait"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5</vt:i4>
      </vt:variant>
    </vt:vector>
  </HeadingPairs>
  <TitlesOfParts>
    <vt:vector size="7" baseType="lpstr">
      <vt:lpstr>Foglio1</vt:lpstr>
      <vt:lpstr>Foglio3</vt:lpstr>
      <vt:lpstr>soglia_EXS30</vt:lpstr>
      <vt:lpstr>soglia_EXS32</vt:lpstr>
      <vt:lpstr>soglia_EXS35</vt:lpstr>
      <vt:lpstr>soglia_EXS38</vt:lpstr>
      <vt:lpstr>soglia_EXSmax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D'Antoni</dc:creator>
  <cp:lastModifiedBy>Microsoft Office User</cp:lastModifiedBy>
  <dcterms:created xsi:type="dcterms:W3CDTF">2021-10-31T10:50:31Z</dcterms:created>
  <dcterms:modified xsi:type="dcterms:W3CDTF">2021-11-20T23:02:04Z</dcterms:modified>
</cp:coreProperties>
</file>